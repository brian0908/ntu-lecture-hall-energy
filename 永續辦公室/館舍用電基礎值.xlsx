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work\14_永續辦公室\06_電力\00_分析區\"/>
    </mc:Choice>
  </mc:AlternateContent>
  <xr:revisionPtr revIDLastSave="0" documentId="13_ncr:1_{4724F92D-80A0-4CDB-B242-05F0F69388C5}" xr6:coauthVersionLast="47" xr6:coauthVersionMax="47" xr10:uidLastSave="{00000000-0000-0000-0000-000000000000}"/>
  <bookViews>
    <workbookView xWindow="-110" yWindow="-110" windowWidth="25820" windowHeight="28300" activeTab="1" xr2:uid="{00000000-000D-0000-FFFF-FFFF00000000}"/>
  </bookViews>
  <sheets>
    <sheet name="ALL" sheetId="1" r:id="rId1"/>
    <sheet name="ALL_計算用" sheetId="3" r:id="rId2"/>
    <sheet name="第一類館舍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2" l="1"/>
  <c r="U2" i="2"/>
  <c r="V2" i="2"/>
  <c r="S2" i="2"/>
  <c r="F1" i="3"/>
  <c r="G1" i="3"/>
  <c r="H1" i="3"/>
  <c r="I1" i="3"/>
  <c r="J1" i="3"/>
  <c r="K1" i="3"/>
  <c r="L1" i="3"/>
  <c r="E1" i="3"/>
  <c r="E53" i="2"/>
  <c r="E51" i="2"/>
  <c r="E50" i="2"/>
  <c r="E52" i="2"/>
  <c r="E45" i="2"/>
  <c r="E48" i="2"/>
  <c r="E39" i="2"/>
  <c r="E38" i="2"/>
  <c r="E32" i="2"/>
  <c r="E49" i="2"/>
  <c r="E46" i="2"/>
  <c r="E35" i="2"/>
  <c r="E36" i="2"/>
  <c r="E41" i="2"/>
  <c r="E37" i="2"/>
  <c r="E34" i="2"/>
  <c r="E47" i="2"/>
  <c r="E40" i="2"/>
  <c r="E43" i="2"/>
  <c r="E33" i="2"/>
  <c r="E42" i="2"/>
  <c r="E44" i="2"/>
  <c r="E31" i="2"/>
  <c r="E29" i="2"/>
  <c r="E30" i="2"/>
  <c r="E26" i="2"/>
  <c r="E27" i="2"/>
  <c r="E28" i="2"/>
  <c r="E22" i="2"/>
  <c r="E25" i="2"/>
  <c r="E24" i="2"/>
  <c r="E23" i="2"/>
  <c r="E21" i="2"/>
  <c r="E18" i="2"/>
  <c r="E20" i="2"/>
  <c r="E16" i="2"/>
  <c r="E19" i="2"/>
  <c r="E17" i="2"/>
  <c r="E15" i="2"/>
  <c r="E14" i="2"/>
  <c r="E13" i="2"/>
  <c r="E12" i="2"/>
  <c r="E6" i="2"/>
  <c r="E9" i="2"/>
  <c r="E5" i="2"/>
  <c r="E3" i="2"/>
  <c r="E8" i="2"/>
  <c r="E11" i="2"/>
  <c r="E4" i="2"/>
  <c r="E10" i="2"/>
  <c r="E7" i="2"/>
  <c r="E2" i="2"/>
</calcChain>
</file>

<file path=xl/sharedStrings.xml><?xml version="1.0" encoding="utf-8"?>
<sst xmlns="http://schemas.openxmlformats.org/spreadsheetml/2006/main" count="729" uniqueCount="345">
  <si>
    <t>館舍ID</t>
  </si>
  <si>
    <t>館舍名稱</t>
  </si>
  <si>
    <t>館舍面積</t>
  </si>
  <si>
    <t>館舍基礎用電</t>
  </si>
  <si>
    <t>設備待機用電(+暖季)</t>
  </si>
  <si>
    <t>人員設備使用用電</t>
  </si>
  <si>
    <t>人員空調使用用電</t>
  </si>
  <si>
    <t>館舍基礎用電密度</t>
  </si>
  <si>
    <t>設備待機用電密度(+暖季)</t>
  </si>
  <si>
    <t>人員設備使用用電密度</t>
  </si>
  <si>
    <t>人員空調使用用電密度</t>
  </si>
  <si>
    <t>KT0026</t>
  </si>
  <si>
    <t>AT4039</t>
  </si>
  <si>
    <t>AT2016</t>
  </si>
  <si>
    <t>AT2030-D</t>
  </si>
  <si>
    <t>AT2016-A</t>
  </si>
  <si>
    <t>AT4026-4</t>
  </si>
  <si>
    <t>AT2040</t>
  </si>
  <si>
    <t>AT4030</t>
  </si>
  <si>
    <t>AT4010-B</t>
  </si>
  <si>
    <t>AT3040</t>
  </si>
  <si>
    <t>AT3038</t>
  </si>
  <si>
    <t>AT1006</t>
  </si>
  <si>
    <t>AT3039</t>
  </si>
  <si>
    <t>AT2025</t>
  </si>
  <si>
    <t>KT0029</t>
  </si>
  <si>
    <t>AT3002</t>
  </si>
  <si>
    <t>AT2029</t>
  </si>
  <si>
    <t>AT2010</t>
  </si>
  <si>
    <t>AT2001</t>
  </si>
  <si>
    <t>AT2034-B</t>
  </si>
  <si>
    <t>AT4016</t>
  </si>
  <si>
    <t>AT3044</t>
  </si>
  <si>
    <t>AT2032-A</t>
  </si>
  <si>
    <t>KT0025</t>
  </si>
  <si>
    <t>KT0032</t>
  </si>
  <si>
    <t>AT4030-1</t>
  </si>
  <si>
    <t>AT2005-1</t>
  </si>
  <si>
    <t>AT3045</t>
  </si>
  <si>
    <t>AT2043</t>
  </si>
  <si>
    <t>AT3046</t>
  </si>
  <si>
    <t>AT4038</t>
  </si>
  <si>
    <t>AT1046</t>
  </si>
  <si>
    <t>AT4025</t>
  </si>
  <si>
    <t>AT1009</t>
  </si>
  <si>
    <t>AT2021</t>
  </si>
  <si>
    <t>AT2008</t>
  </si>
  <si>
    <t>KT0041</t>
  </si>
  <si>
    <t>AT2006</t>
  </si>
  <si>
    <t>AT1025</t>
  </si>
  <si>
    <t>AT2022</t>
  </si>
  <si>
    <t>AT1044</t>
  </si>
  <si>
    <t>AT2037</t>
  </si>
  <si>
    <t>AT2030-B</t>
  </si>
  <si>
    <t>AT4026</t>
  </si>
  <si>
    <t>AT1020</t>
  </si>
  <si>
    <t>AT4027-A</t>
  </si>
  <si>
    <t>AT2017</t>
  </si>
  <si>
    <t>AT1017</t>
  </si>
  <si>
    <t>AT2044</t>
  </si>
  <si>
    <t>AT2038</t>
  </si>
  <si>
    <t>AT2026</t>
  </si>
  <si>
    <t>AT1005</t>
  </si>
  <si>
    <t>AT5019</t>
  </si>
  <si>
    <t>AT1039</t>
  </si>
  <si>
    <t>AT2018</t>
  </si>
  <si>
    <t>AT2049</t>
  </si>
  <si>
    <t>AT2031-A</t>
  </si>
  <si>
    <t>AT2045</t>
  </si>
  <si>
    <t>AT5018</t>
  </si>
  <si>
    <t>AT4018</t>
  </si>
  <si>
    <t>AT4029</t>
  </si>
  <si>
    <t>AT5017</t>
  </si>
  <si>
    <t>AT3010</t>
  </si>
  <si>
    <t>AT2019</t>
  </si>
  <si>
    <t>AT3035</t>
  </si>
  <si>
    <t>AT4035</t>
  </si>
  <si>
    <t>AT5001</t>
  </si>
  <si>
    <t>AT2018-A</t>
  </si>
  <si>
    <t>AT2036</t>
  </si>
  <si>
    <t>AT2042</t>
  </si>
  <si>
    <t>AT1027</t>
  </si>
  <si>
    <t>AT6011</t>
  </si>
  <si>
    <t>AT2023</t>
  </si>
  <si>
    <t>AT1026</t>
  </si>
  <si>
    <t>AT2047</t>
  </si>
  <si>
    <t>AT3001</t>
  </si>
  <si>
    <t>AT1019</t>
  </si>
  <si>
    <t>AT1032</t>
  </si>
  <si>
    <t>AT1002-A</t>
  </si>
  <si>
    <t>AT2032、AT2032-1</t>
  </si>
  <si>
    <t>AT5021</t>
  </si>
  <si>
    <t>AT2015-A</t>
  </si>
  <si>
    <t>AT1033</t>
  </si>
  <si>
    <t>AT4034</t>
  </si>
  <si>
    <t>AT5041</t>
  </si>
  <si>
    <t>AT5043</t>
  </si>
  <si>
    <t>AT4019</t>
  </si>
  <si>
    <t>AT4029-A</t>
  </si>
  <si>
    <t>AT2041</t>
  </si>
  <si>
    <t>AT1018</t>
  </si>
  <si>
    <t>AT4002</t>
  </si>
  <si>
    <t>AT1036</t>
  </si>
  <si>
    <t>AT1037</t>
  </si>
  <si>
    <t>AT5002</t>
  </si>
  <si>
    <t>AT3043</t>
  </si>
  <si>
    <t>AT1035</t>
  </si>
  <si>
    <t>AT2035</t>
  </si>
  <si>
    <t>AT4003</t>
  </si>
  <si>
    <t>KT0021</t>
  </si>
  <si>
    <t>AT5037</t>
  </si>
  <si>
    <t>AT2020</t>
  </si>
  <si>
    <t>KT0045</t>
  </si>
  <si>
    <t>AN1022</t>
  </si>
  <si>
    <t>AT3042</t>
  </si>
  <si>
    <t>AT5014</t>
  </si>
  <si>
    <t>AT2030</t>
  </si>
  <si>
    <t>AT1011</t>
  </si>
  <si>
    <t>AT4032</t>
  </si>
  <si>
    <t>AT2011</t>
  </si>
  <si>
    <t>AT2005</t>
  </si>
  <si>
    <t>AT3047</t>
  </si>
  <si>
    <t>AT2012</t>
  </si>
  <si>
    <t>AT2028</t>
  </si>
  <si>
    <t>AT4021</t>
  </si>
  <si>
    <t>AT3041</t>
  </si>
  <si>
    <t>AT3013</t>
  </si>
  <si>
    <t>AT4020</t>
  </si>
  <si>
    <t>AT4024</t>
  </si>
  <si>
    <t>AT4031</t>
  </si>
  <si>
    <t>AT3005</t>
  </si>
  <si>
    <t>AT2028-A</t>
  </si>
  <si>
    <t>AT4018-A</t>
  </si>
  <si>
    <t>AT2048</t>
  </si>
  <si>
    <t>AT5039</t>
  </si>
  <si>
    <t>AT2015</t>
  </si>
  <si>
    <t>AT2007</t>
  </si>
  <si>
    <t>AT2046</t>
  </si>
  <si>
    <t>KT0027</t>
  </si>
  <si>
    <t>AT1004</t>
  </si>
  <si>
    <t>AT1038</t>
  </si>
  <si>
    <t>AT4023</t>
  </si>
  <si>
    <t>AT2027</t>
  </si>
  <si>
    <t>AT2033</t>
  </si>
  <si>
    <t>AT2004-F</t>
  </si>
  <si>
    <t>AT2031</t>
  </si>
  <si>
    <t>AT3003</t>
  </si>
  <si>
    <t>AT1040</t>
  </si>
  <si>
    <t>AT3037-D</t>
  </si>
  <si>
    <t>AT1023</t>
  </si>
  <si>
    <t>AT5017-A</t>
  </si>
  <si>
    <t>AT6015</t>
  </si>
  <si>
    <t>AN1024</t>
  </si>
  <si>
    <t>AT1015</t>
  </si>
  <si>
    <t>AT1031</t>
  </si>
  <si>
    <t>AT4009-A</t>
  </si>
  <si>
    <t>人文系大樓(育成C棟)</t>
  </si>
  <si>
    <t>教學二期機車停車場(立體機車停車場)</t>
  </si>
  <si>
    <t>漁業陳列館</t>
  </si>
  <si>
    <t>物理系液氮機室</t>
  </si>
  <si>
    <t>漁業生物實驗室</t>
  </si>
  <si>
    <t>建城所(原內政部借用房屋)(檔案樓)</t>
  </si>
  <si>
    <t>農工系實驗室(生物環境系統工程學系)</t>
  </si>
  <si>
    <t>第二活動中心</t>
  </si>
  <si>
    <t>種子研究室</t>
  </si>
  <si>
    <t>新聞所大樓</t>
  </si>
  <si>
    <t>社會及社工館(社會系所大樓)</t>
  </si>
  <si>
    <t>體育館</t>
  </si>
  <si>
    <t>國家發展所大樓(原三研所)</t>
  </si>
  <si>
    <t>第一女研究生宿舍</t>
  </si>
  <si>
    <t>行政大樓(水源)</t>
  </si>
  <si>
    <t>機械系臨時工廠(部份報廢未拆)</t>
  </si>
  <si>
    <t>農化新館/敬賢樓(農化二館暨行政大樓)</t>
  </si>
  <si>
    <t>圖書資訊館(研究圖書館)</t>
  </si>
  <si>
    <t>農業陳列館</t>
  </si>
  <si>
    <t>倉庫(保管組及會計室)</t>
  </si>
  <si>
    <t>園藝系造園館</t>
  </si>
  <si>
    <t>霖澤館</t>
  </si>
  <si>
    <t>第一會議室</t>
  </si>
  <si>
    <t>澄思樓</t>
  </si>
  <si>
    <t>飲水樓</t>
  </si>
  <si>
    <t>管理學院二號館</t>
  </si>
  <si>
    <t>樂學館</t>
  </si>
  <si>
    <t>萬才館</t>
  </si>
  <si>
    <t>水工試驗所</t>
  </si>
  <si>
    <t>社會科學院大樓</t>
  </si>
  <si>
    <t>禮賢樓(卓聯大樓)</t>
  </si>
  <si>
    <t>次震宇宙館</t>
  </si>
  <si>
    <t>管理學院一號館(管理學院)</t>
  </si>
  <si>
    <t>普通教學館</t>
  </si>
  <si>
    <t>植物標本館</t>
  </si>
  <si>
    <t>土木館</t>
  </si>
  <si>
    <t>思源樓</t>
  </si>
  <si>
    <t>文學院(古蹟)</t>
  </si>
  <si>
    <t>水產養殖池</t>
  </si>
  <si>
    <t>女五舍</t>
  </si>
  <si>
    <t>博雅教學館</t>
  </si>
  <si>
    <t>農業綜合大樓</t>
  </si>
  <si>
    <t>普通物理系倉庫</t>
  </si>
  <si>
    <t>推廣教育大樓一號館(原內政部借用房屋)</t>
  </si>
  <si>
    <t>新生教學館</t>
  </si>
  <si>
    <t>幼稚園借用房屋</t>
  </si>
  <si>
    <t>女一舍</t>
  </si>
  <si>
    <t>思亮館</t>
  </si>
  <si>
    <t>水工試驗大樓</t>
  </si>
  <si>
    <t>共同教學館</t>
  </si>
  <si>
    <t>第一男研究生宿舍</t>
  </si>
  <si>
    <t>游泳池</t>
  </si>
  <si>
    <t>男五舍</t>
  </si>
  <si>
    <t>體育館(校總區)</t>
  </si>
  <si>
    <t>女三舍</t>
  </si>
  <si>
    <t>綜合教學館</t>
  </si>
  <si>
    <t>望樂樓(植研大樓)</t>
  </si>
  <si>
    <t>學生保健中心</t>
  </si>
  <si>
    <t>男三舍</t>
  </si>
  <si>
    <t>地理系館</t>
  </si>
  <si>
    <t>管理學院教研館(管理學院教學館)</t>
  </si>
  <si>
    <t>男一舍</t>
  </si>
  <si>
    <t>農機館(農機研究室)</t>
  </si>
  <si>
    <t>女二舍</t>
  </si>
  <si>
    <t>國青大樓</t>
  </si>
  <si>
    <t>明達館</t>
  </si>
  <si>
    <t>男八舍</t>
  </si>
  <si>
    <t>事務組倉庫</t>
  </si>
  <si>
    <t>五號館(農工系館)</t>
  </si>
  <si>
    <t>森林館</t>
  </si>
  <si>
    <t>女八舍</t>
  </si>
  <si>
    <t>環境研究大樓</t>
  </si>
  <si>
    <t>第二男女研究生宿舍(大一女舍)</t>
  </si>
  <si>
    <t>漁業科學館</t>
  </si>
  <si>
    <t>航空測量館</t>
  </si>
  <si>
    <t>資訊工程館(資訊新館+德田館)</t>
  </si>
  <si>
    <t>數學研究中心</t>
  </si>
  <si>
    <t>外語教學暨資源中心</t>
  </si>
  <si>
    <t>司令臺</t>
  </si>
  <si>
    <t>行政大樓(含北、南、東西側)</t>
  </si>
  <si>
    <t>男七舍</t>
  </si>
  <si>
    <t>動物標本館</t>
  </si>
  <si>
    <t>心理系館</t>
  </si>
  <si>
    <t>食品研發大樓</t>
  </si>
  <si>
    <t>家畜醫院新大樓(動物醫院)</t>
  </si>
  <si>
    <t>土木研究大樓</t>
  </si>
  <si>
    <t>大氣科學館</t>
  </si>
  <si>
    <t>雅頌坊</t>
  </si>
  <si>
    <t>農業化學系研究室</t>
  </si>
  <si>
    <t>數學館</t>
  </si>
  <si>
    <t>納環館 (環工所)</t>
  </si>
  <si>
    <t>應用力學研究大樓</t>
  </si>
  <si>
    <t>工學院綜合大樓</t>
  </si>
  <si>
    <t>男六舍</t>
  </si>
  <si>
    <t>獸醫系三館</t>
  </si>
  <si>
    <t>語文大樓</t>
  </si>
  <si>
    <t>四號館(園藝系館)</t>
  </si>
  <si>
    <t>船模試驗室(工科海洋系)</t>
  </si>
  <si>
    <t>學生餐廳(機械工廠)</t>
  </si>
  <si>
    <t>畜產系畜牧大樓(動物科學技術學系)</t>
  </si>
  <si>
    <t>植病系病毒研究室</t>
  </si>
  <si>
    <t>卓越研究大樓</t>
  </si>
  <si>
    <t>生物化學研究所</t>
  </si>
  <si>
    <t>博理館</t>
  </si>
  <si>
    <t>生技中心</t>
  </si>
  <si>
    <t>農化系食品工廠(收發室)</t>
  </si>
  <si>
    <t>海洋研究所</t>
  </si>
  <si>
    <t>園藝系精密溫室</t>
  </si>
  <si>
    <t>學生活動中心</t>
  </si>
  <si>
    <t>(舊)總圖書館(古蹟)</t>
  </si>
  <si>
    <t>鄭江樓</t>
  </si>
  <si>
    <t>農藝館</t>
  </si>
  <si>
    <t>三號館(農化系館)</t>
  </si>
  <si>
    <t>園產加工實驗室</t>
  </si>
  <si>
    <t>總圖書館(總圖新館)</t>
  </si>
  <si>
    <t>中非大樓</t>
  </si>
  <si>
    <t>食品科技館</t>
  </si>
  <si>
    <t>展書樓(編譯館(舊))</t>
  </si>
  <si>
    <t>生命科學館</t>
  </si>
  <si>
    <t>獸醫館(獸醫系研究室)</t>
  </si>
  <si>
    <t>電子顯微鏡館</t>
  </si>
  <si>
    <t>浩瀚樓(放射線待處理物管理處)</t>
  </si>
  <si>
    <t>園藝花卉研究室</t>
  </si>
  <si>
    <t>植病系昆蟲館</t>
  </si>
  <si>
    <t>一號館</t>
  </si>
  <si>
    <t>化學工程館</t>
  </si>
  <si>
    <t>林產館</t>
  </si>
  <si>
    <t>中正樓(育成B棟)</t>
  </si>
  <si>
    <t>地球科學大樓(全球變遷中心)</t>
  </si>
  <si>
    <t>物理學系凝態科學研究中心</t>
  </si>
  <si>
    <t>地質科學館</t>
  </si>
  <si>
    <t>二號館(物理系館)</t>
  </si>
  <si>
    <t>農化系實驗室</t>
  </si>
  <si>
    <t>大門口警衛室(古蹟)</t>
  </si>
  <si>
    <t>植物系研究室(舊館)</t>
  </si>
  <si>
    <t>電機二館</t>
  </si>
  <si>
    <t>化學系館(化學新館+積學館AT1042)</t>
  </si>
  <si>
    <t>辛亥路大門.警衛室</t>
  </si>
  <si>
    <t>電機一館[舊電機館(原稱電機工程研究所)]</t>
  </si>
  <si>
    <t>男一舍餐廳</t>
  </si>
  <si>
    <t>實驗動物資源中心</t>
  </si>
  <si>
    <t>原分所</t>
  </si>
  <si>
    <t>通學生餐廳(福利社)</t>
  </si>
  <si>
    <t>計算機及資訊網路中心</t>
  </si>
  <si>
    <t>人工控制氣候室</t>
  </si>
  <si>
    <t>分類</t>
    <phoneticPr fontId="2" type="noConversion"/>
  </si>
  <si>
    <t>工</t>
    <phoneticPr fontId="2" type="noConversion"/>
  </si>
  <si>
    <t>展書樓(編譯館(舊))</t>
    <phoneticPr fontId="2" type="noConversion"/>
  </si>
  <si>
    <t>學生餐廳(機械工廠)</t>
    <phoneticPr fontId="2" type="noConversion"/>
  </si>
  <si>
    <t>工</t>
    <phoneticPr fontId="2" type="noConversion"/>
  </si>
  <si>
    <t>生科</t>
    <phoneticPr fontId="2" type="noConversion"/>
  </si>
  <si>
    <t>生技中心</t>
    <phoneticPr fontId="2" type="noConversion"/>
  </si>
  <si>
    <t>行政</t>
    <phoneticPr fontId="2" type="noConversion"/>
  </si>
  <si>
    <t>行政</t>
    <phoneticPr fontId="2" type="noConversion"/>
  </si>
  <si>
    <t>理</t>
    <phoneticPr fontId="2" type="noConversion"/>
  </si>
  <si>
    <t>理</t>
    <phoneticPr fontId="2" type="noConversion"/>
  </si>
  <si>
    <t>農</t>
    <phoneticPr fontId="2" type="noConversion"/>
  </si>
  <si>
    <t>電子顯微鏡館</t>
    <phoneticPr fontId="2" type="noConversion"/>
  </si>
  <si>
    <t>食品研發大樓</t>
    <phoneticPr fontId="2" type="noConversion"/>
  </si>
  <si>
    <t>電資</t>
    <phoneticPr fontId="2" type="noConversion"/>
  </si>
  <si>
    <t>實驗動物資源中心</t>
    <phoneticPr fontId="2" type="noConversion"/>
  </si>
  <si>
    <t>日夜用電差異指標</t>
    <phoneticPr fontId="2" type="noConversion"/>
  </si>
  <si>
    <t>畜產系畜牧大樓(動物科學技術學系)</t>
    <phoneticPr fontId="2" type="noConversion"/>
  </si>
  <si>
    <t>四號館(園藝系館)</t>
    <phoneticPr fontId="2" type="noConversion"/>
  </si>
  <si>
    <t>獸醫系三館</t>
    <phoneticPr fontId="2" type="noConversion"/>
  </si>
  <si>
    <t>農業化學系研究室</t>
    <phoneticPr fontId="2" type="noConversion"/>
  </si>
  <si>
    <t>電機二館</t>
    <phoneticPr fontId="2" type="noConversion"/>
  </si>
  <si>
    <t>博理館</t>
    <phoneticPr fontId="2" type="noConversion"/>
  </si>
  <si>
    <t>電機一館</t>
    <phoneticPr fontId="2" type="noConversion"/>
  </si>
  <si>
    <t>原分所</t>
    <phoneticPr fontId="2" type="noConversion"/>
  </si>
  <si>
    <t>備註</t>
    <phoneticPr fontId="2" type="noConversion"/>
  </si>
  <si>
    <t>建物名稱 Name of Building</t>
    <phoneticPr fontId="2" type="noConversion"/>
  </si>
  <si>
    <t>中位數</t>
    <phoneticPr fontId="2" type="noConversion"/>
  </si>
  <si>
    <t>紅字標準</t>
    <phoneticPr fontId="2" type="noConversion"/>
  </si>
  <si>
    <t>排序</t>
    <phoneticPr fontId="2" type="noConversion"/>
  </si>
  <si>
    <t>中正樓(育成B棟)</t>
    <phoneticPr fontId="2" type="noConversion"/>
  </si>
  <si>
    <t>出租用電</t>
    <phoneticPr fontId="2" type="noConversion"/>
  </si>
  <si>
    <t>109年EUI</t>
    <phoneticPr fontId="2" type="noConversion"/>
  </si>
  <si>
    <t>總用電量(度)</t>
    <phoneticPr fontId="2" type="noConversion"/>
  </si>
  <si>
    <t>館舍基礎用電(度)</t>
    <phoneticPr fontId="2" type="noConversion"/>
  </si>
  <si>
    <t>設備待機用電(+暖季)(度)</t>
    <phoneticPr fontId="2" type="noConversion"/>
  </si>
  <si>
    <t>人員設備使用用電(度)</t>
    <phoneticPr fontId="2" type="noConversion"/>
  </si>
  <si>
    <t>人員空調使用用電(度)</t>
    <phoneticPr fontId="2" type="noConversion"/>
  </si>
  <si>
    <t>館舍基礎用電密度(度/m2)</t>
    <phoneticPr fontId="2" type="noConversion"/>
  </si>
  <si>
    <t>設備待機用電密度(+暖季)(度/m2)</t>
    <phoneticPr fontId="2" type="noConversion"/>
  </si>
  <si>
    <t>人員設備使用用電密度(度/m2)</t>
    <phoneticPr fontId="2" type="noConversion"/>
  </si>
  <si>
    <t>人員空調使用用電密度(度/m2)</t>
    <phoneticPr fontId="2" type="noConversion"/>
  </si>
  <si>
    <t>面積(m2)</t>
    <phoneticPr fontId="2" type="noConversion"/>
  </si>
  <si>
    <t>校研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</si>
</sst>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"/>
    <numFmt numFmtId="165" formatCode="0.0_ "/>
    <numFmt numFmtId="166" formatCode="0_ "/>
    <numFmt numFmtId="167" formatCode="0.000_ 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color rgb="FFFF000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 wrapText="1"/>
    </xf>
    <xf numFmtId="167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</cellXfs>
  <cellStyles count="1">
    <cellStyle name="一般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workbookViewId="0">
      <selection activeCell="M3" sqref="M3"/>
    </sheetView>
  </sheetViews>
  <sheetFormatPr defaultRowHeight="14.5"/>
  <cols>
    <col min="3" max="3" width="24" customWidth="1"/>
  </cols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t="s">
        <v>156</v>
      </c>
      <c r="D2">
        <v>567.11</v>
      </c>
      <c r="E2">
        <v>0</v>
      </c>
      <c r="F2">
        <v>0</v>
      </c>
      <c r="G2">
        <v>5</v>
      </c>
      <c r="H2">
        <v>3</v>
      </c>
      <c r="I2">
        <v>0</v>
      </c>
      <c r="J2">
        <v>0</v>
      </c>
      <c r="K2">
        <v>8.8166316940276133E-3</v>
      </c>
      <c r="L2">
        <v>5.289979016416568E-3</v>
      </c>
    </row>
    <row r="3" spans="1:12">
      <c r="A3" s="1">
        <v>1</v>
      </c>
      <c r="B3" t="s">
        <v>12</v>
      </c>
      <c r="C3" t="s">
        <v>157</v>
      </c>
      <c r="D3">
        <v>6567.66</v>
      </c>
      <c r="E3">
        <v>20</v>
      </c>
      <c r="F3">
        <v>5</v>
      </c>
      <c r="G3">
        <v>11</v>
      </c>
      <c r="H3">
        <v>19</v>
      </c>
      <c r="I3">
        <v>3.0452246309949048E-3</v>
      </c>
      <c r="J3">
        <v>7.613061577487263E-4</v>
      </c>
      <c r="K3">
        <v>1.674873547047198E-3</v>
      </c>
      <c r="L3">
        <v>2.8929633994451598E-3</v>
      </c>
    </row>
    <row r="4" spans="1:12">
      <c r="A4" s="1">
        <v>2</v>
      </c>
      <c r="B4" t="s">
        <v>13</v>
      </c>
      <c r="C4" t="s">
        <v>158</v>
      </c>
      <c r="D4">
        <v>483.82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 t="s">
        <v>14</v>
      </c>
      <c r="C5" t="s">
        <v>159</v>
      </c>
      <c r="D5">
        <v>111.51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8.9678055779750694E-3</v>
      </c>
    </row>
    <row r="6" spans="1:12">
      <c r="A6" s="1">
        <v>4</v>
      </c>
      <c r="B6" t="s">
        <v>15</v>
      </c>
      <c r="C6" t="s">
        <v>160</v>
      </c>
      <c r="D6">
        <v>95.41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 t="s">
        <v>16</v>
      </c>
      <c r="C7" t="s">
        <v>161</v>
      </c>
      <c r="D7">
        <v>1684.55</v>
      </c>
      <c r="E7">
        <v>2</v>
      </c>
      <c r="F7">
        <v>2</v>
      </c>
      <c r="G7">
        <v>2</v>
      </c>
      <c r="H7">
        <v>12</v>
      </c>
      <c r="I7">
        <v>1.1872606927666139E-3</v>
      </c>
      <c r="J7">
        <v>1.1872606927666139E-3</v>
      </c>
      <c r="K7">
        <v>1.1872606927666139E-3</v>
      </c>
      <c r="L7">
        <v>7.1235641565996852E-3</v>
      </c>
    </row>
    <row r="8" spans="1:12">
      <c r="A8" s="1">
        <v>6</v>
      </c>
      <c r="B8" t="s">
        <v>17</v>
      </c>
      <c r="C8" t="s">
        <v>162</v>
      </c>
      <c r="D8">
        <v>804.81</v>
      </c>
      <c r="E8">
        <v>2</v>
      </c>
      <c r="F8">
        <v>3</v>
      </c>
      <c r="G8">
        <v>3</v>
      </c>
      <c r="H8">
        <v>4</v>
      </c>
      <c r="I8">
        <v>2.485058585256147E-3</v>
      </c>
      <c r="J8">
        <v>3.727587877884222E-3</v>
      </c>
      <c r="K8">
        <v>3.727587877884222E-3</v>
      </c>
      <c r="L8">
        <v>4.9701171705122948E-3</v>
      </c>
    </row>
    <row r="9" spans="1:12">
      <c r="A9" s="1">
        <v>7</v>
      </c>
      <c r="B9" t="s">
        <v>18</v>
      </c>
      <c r="C9" t="s">
        <v>163</v>
      </c>
      <c r="D9">
        <v>19257.47</v>
      </c>
      <c r="E9">
        <v>45</v>
      </c>
      <c r="F9">
        <v>6</v>
      </c>
      <c r="G9">
        <v>173</v>
      </c>
      <c r="H9">
        <v>127</v>
      </c>
      <c r="I9">
        <v>2.3367555551170528E-3</v>
      </c>
      <c r="J9">
        <v>3.1156740734894039E-4</v>
      </c>
      <c r="K9">
        <v>8.9835269118944492E-3</v>
      </c>
      <c r="L9">
        <v>6.5948434555525718E-3</v>
      </c>
    </row>
    <row r="10" spans="1:12">
      <c r="A10" s="1">
        <v>8</v>
      </c>
      <c r="B10" t="s">
        <v>19</v>
      </c>
      <c r="C10" t="s">
        <v>164</v>
      </c>
      <c r="D10">
        <v>383.05</v>
      </c>
      <c r="E10">
        <v>1</v>
      </c>
      <c r="F10">
        <v>0</v>
      </c>
      <c r="G10">
        <v>0</v>
      </c>
      <c r="H10">
        <v>1</v>
      </c>
      <c r="I10">
        <v>2.6106252447461171E-3</v>
      </c>
      <c r="J10">
        <v>0</v>
      </c>
      <c r="K10">
        <v>0</v>
      </c>
      <c r="L10">
        <v>2.6106252447461171E-3</v>
      </c>
    </row>
    <row r="11" spans="1:12">
      <c r="A11" s="1">
        <v>9</v>
      </c>
      <c r="B11" t="s">
        <v>20</v>
      </c>
      <c r="C11" t="s">
        <v>165</v>
      </c>
      <c r="D11">
        <v>6231.4</v>
      </c>
      <c r="E11">
        <v>16</v>
      </c>
      <c r="F11">
        <v>3</v>
      </c>
      <c r="G11">
        <v>8</v>
      </c>
      <c r="H11">
        <v>26</v>
      </c>
      <c r="I11">
        <v>2.5676413005103192E-3</v>
      </c>
      <c r="J11">
        <v>4.8143274384568482E-4</v>
      </c>
      <c r="K11">
        <v>1.2838206502551589E-3</v>
      </c>
      <c r="L11">
        <v>4.1724171133292682E-3</v>
      </c>
    </row>
    <row r="12" spans="1:12">
      <c r="A12" s="1">
        <v>10</v>
      </c>
      <c r="B12" t="s">
        <v>21</v>
      </c>
      <c r="C12" t="s">
        <v>166</v>
      </c>
      <c r="D12">
        <v>7902.38</v>
      </c>
      <c r="E12">
        <v>14</v>
      </c>
      <c r="F12">
        <v>1</v>
      </c>
      <c r="G12">
        <v>21</v>
      </c>
      <c r="H12">
        <v>54</v>
      </c>
      <c r="I12">
        <v>1.7716181707283121E-3</v>
      </c>
      <c r="J12">
        <v>1.265441550520223E-4</v>
      </c>
      <c r="K12">
        <v>2.6574272560924679E-3</v>
      </c>
      <c r="L12">
        <v>6.8333843728092042E-3</v>
      </c>
    </row>
    <row r="13" spans="1:12">
      <c r="A13" s="1">
        <v>11</v>
      </c>
      <c r="B13" t="s">
        <v>22</v>
      </c>
      <c r="C13" t="s">
        <v>167</v>
      </c>
      <c r="D13">
        <v>4221.32</v>
      </c>
      <c r="E13">
        <v>7</v>
      </c>
      <c r="F13">
        <v>3</v>
      </c>
      <c r="G13">
        <v>20</v>
      </c>
      <c r="H13">
        <v>1</v>
      </c>
      <c r="I13">
        <v>1.6582490784872979E-3</v>
      </c>
      <c r="J13">
        <v>7.1067817649455624E-4</v>
      </c>
      <c r="K13">
        <v>4.7378545099637081E-3</v>
      </c>
      <c r="L13">
        <v>2.3689272549818539E-4</v>
      </c>
    </row>
    <row r="14" spans="1:12">
      <c r="A14" s="1">
        <v>12</v>
      </c>
      <c r="B14" t="s">
        <v>23</v>
      </c>
      <c r="C14" t="s">
        <v>168</v>
      </c>
      <c r="D14">
        <v>6428.71</v>
      </c>
      <c r="E14">
        <v>16</v>
      </c>
      <c r="F14">
        <v>3</v>
      </c>
      <c r="G14">
        <v>8</v>
      </c>
      <c r="H14">
        <v>15</v>
      </c>
      <c r="I14">
        <v>2.4888352406625901E-3</v>
      </c>
      <c r="J14">
        <v>4.6665660762423568E-4</v>
      </c>
      <c r="K14">
        <v>1.2444176203312951E-3</v>
      </c>
      <c r="L14">
        <v>2.3332830381211779E-3</v>
      </c>
    </row>
    <row r="15" spans="1:12">
      <c r="A15" s="1">
        <v>13</v>
      </c>
      <c r="B15" t="s">
        <v>24</v>
      </c>
      <c r="C15" t="s">
        <v>169</v>
      </c>
      <c r="D15">
        <v>4778.49</v>
      </c>
      <c r="E15">
        <v>16</v>
      </c>
      <c r="F15">
        <v>10</v>
      </c>
      <c r="G15">
        <v>0</v>
      </c>
      <c r="H15">
        <v>0</v>
      </c>
      <c r="I15">
        <v>3.3483380733244179E-3</v>
      </c>
      <c r="J15">
        <v>2.0927112958277622E-3</v>
      </c>
      <c r="K15">
        <v>0</v>
      </c>
      <c r="L15">
        <v>0</v>
      </c>
    </row>
    <row r="16" spans="1:12">
      <c r="A16" s="1">
        <v>14</v>
      </c>
      <c r="B16" t="s">
        <v>25</v>
      </c>
      <c r="C16" t="s">
        <v>170</v>
      </c>
      <c r="D16">
        <v>4201.4399999999996</v>
      </c>
      <c r="E16">
        <v>8</v>
      </c>
      <c r="F16">
        <v>3</v>
      </c>
      <c r="G16">
        <v>14</v>
      </c>
      <c r="H16">
        <v>33</v>
      </c>
      <c r="I16">
        <v>1.904109067367379E-3</v>
      </c>
      <c r="J16">
        <v>7.140409002627671E-4</v>
      </c>
      <c r="K16">
        <v>3.332190867892913E-3</v>
      </c>
      <c r="L16">
        <v>7.854449902890439E-3</v>
      </c>
    </row>
    <row r="17" spans="1:12">
      <c r="A17" s="1">
        <v>15</v>
      </c>
      <c r="B17" t="s">
        <v>26</v>
      </c>
      <c r="C17" t="s">
        <v>171</v>
      </c>
      <c r="D17">
        <v>1246.01</v>
      </c>
      <c r="E17">
        <v>2</v>
      </c>
      <c r="F17">
        <v>1</v>
      </c>
      <c r="G17">
        <v>12</v>
      </c>
      <c r="H17">
        <v>10</v>
      </c>
      <c r="I17">
        <v>1.605123554385599E-3</v>
      </c>
      <c r="J17">
        <v>8.025617771927994E-4</v>
      </c>
      <c r="K17">
        <v>9.6307413263135924E-3</v>
      </c>
      <c r="L17">
        <v>8.0256177719279943E-3</v>
      </c>
    </row>
    <row r="18" spans="1:12">
      <c r="A18" s="1">
        <v>16</v>
      </c>
      <c r="B18" t="s">
        <v>27</v>
      </c>
      <c r="C18" t="s">
        <v>172</v>
      </c>
      <c r="D18">
        <v>9107.02</v>
      </c>
      <c r="E18">
        <v>26</v>
      </c>
      <c r="F18">
        <v>11</v>
      </c>
      <c r="G18">
        <v>14</v>
      </c>
      <c r="H18">
        <v>34</v>
      </c>
      <c r="I18">
        <v>2.8549404744911068E-3</v>
      </c>
      <c r="J18">
        <v>1.207859431515468E-3</v>
      </c>
      <c r="K18">
        <v>1.5372756401105961E-3</v>
      </c>
      <c r="L18">
        <v>3.733383697411447E-3</v>
      </c>
    </row>
    <row r="19" spans="1:12">
      <c r="A19" s="1">
        <v>17</v>
      </c>
      <c r="B19" t="s">
        <v>28</v>
      </c>
      <c r="C19" t="s">
        <v>173</v>
      </c>
      <c r="D19">
        <v>4627.9799999999996</v>
      </c>
      <c r="E19">
        <v>10</v>
      </c>
      <c r="F19">
        <v>3</v>
      </c>
      <c r="G19">
        <v>18</v>
      </c>
      <c r="H19">
        <v>39</v>
      </c>
      <c r="I19">
        <v>2.160769925539869E-3</v>
      </c>
      <c r="J19">
        <v>6.4823097766196058E-4</v>
      </c>
      <c r="K19">
        <v>3.889385865971763E-3</v>
      </c>
      <c r="L19">
        <v>8.4270027096054866E-3</v>
      </c>
    </row>
    <row r="20" spans="1:12">
      <c r="A20" s="1">
        <v>18</v>
      </c>
      <c r="B20" t="s">
        <v>29</v>
      </c>
      <c r="C20" t="s">
        <v>174</v>
      </c>
      <c r="D20">
        <v>1800</v>
      </c>
      <c r="E20">
        <v>3</v>
      </c>
      <c r="F20">
        <v>0</v>
      </c>
      <c r="G20">
        <v>5</v>
      </c>
      <c r="H20">
        <v>36</v>
      </c>
      <c r="I20">
        <v>1.666666666666667E-3</v>
      </c>
      <c r="J20">
        <v>0</v>
      </c>
      <c r="K20">
        <v>2.7777777777777779E-3</v>
      </c>
      <c r="L20">
        <v>0.02</v>
      </c>
    </row>
    <row r="21" spans="1:12">
      <c r="A21" s="1">
        <v>19</v>
      </c>
      <c r="B21" t="s">
        <v>30</v>
      </c>
      <c r="C21" t="s">
        <v>175</v>
      </c>
      <c r="D21">
        <v>412.66</v>
      </c>
      <c r="E21">
        <v>0</v>
      </c>
      <c r="F21">
        <v>1</v>
      </c>
      <c r="G21">
        <v>1</v>
      </c>
      <c r="H21">
        <v>4</v>
      </c>
      <c r="I21">
        <v>0</v>
      </c>
      <c r="J21">
        <v>2.4233024766151311E-3</v>
      </c>
      <c r="K21">
        <v>2.4233024766151311E-3</v>
      </c>
      <c r="L21">
        <v>9.6932099064605242E-3</v>
      </c>
    </row>
    <row r="22" spans="1:12">
      <c r="A22" s="1">
        <v>20</v>
      </c>
      <c r="B22" t="s">
        <v>31</v>
      </c>
      <c r="C22" t="s">
        <v>176</v>
      </c>
      <c r="D22">
        <v>1490.27</v>
      </c>
      <c r="E22">
        <v>4</v>
      </c>
      <c r="F22">
        <v>1</v>
      </c>
      <c r="G22">
        <v>5</v>
      </c>
      <c r="H22">
        <v>12</v>
      </c>
      <c r="I22">
        <v>2.6840773819509218E-3</v>
      </c>
      <c r="J22">
        <v>6.7101934548773046E-4</v>
      </c>
      <c r="K22">
        <v>3.355096727438652E-3</v>
      </c>
      <c r="L22">
        <v>8.0522321458527651E-3</v>
      </c>
    </row>
    <row r="23" spans="1:12">
      <c r="A23" s="1">
        <v>21</v>
      </c>
      <c r="B23" t="s">
        <v>32</v>
      </c>
      <c r="C23" t="s">
        <v>177</v>
      </c>
      <c r="D23">
        <v>9800.35</v>
      </c>
      <c r="E23">
        <v>22</v>
      </c>
      <c r="F23">
        <v>10</v>
      </c>
      <c r="G23">
        <v>35</v>
      </c>
      <c r="H23">
        <v>72</v>
      </c>
      <c r="I23">
        <v>2.2448177871198481E-3</v>
      </c>
      <c r="J23">
        <v>1.020371721418112E-3</v>
      </c>
      <c r="K23">
        <v>3.571301024963394E-3</v>
      </c>
      <c r="L23">
        <v>7.3466763942104107E-3</v>
      </c>
    </row>
    <row r="24" spans="1:12">
      <c r="A24" s="1">
        <v>22</v>
      </c>
      <c r="B24" t="s">
        <v>33</v>
      </c>
      <c r="C24" t="s">
        <v>178</v>
      </c>
      <c r="D24">
        <v>316.5</v>
      </c>
      <c r="E24">
        <v>1</v>
      </c>
      <c r="F24">
        <v>0</v>
      </c>
      <c r="G24">
        <v>2</v>
      </c>
      <c r="H24">
        <v>3</v>
      </c>
      <c r="I24">
        <v>3.1595576619273301E-3</v>
      </c>
      <c r="J24">
        <v>0</v>
      </c>
      <c r="K24">
        <v>6.3191153238546603E-3</v>
      </c>
      <c r="L24">
        <v>9.4786729857819912E-3</v>
      </c>
    </row>
    <row r="25" spans="1:12">
      <c r="A25" s="1">
        <v>23</v>
      </c>
      <c r="B25" t="s">
        <v>34</v>
      </c>
      <c r="C25" t="s">
        <v>179</v>
      </c>
      <c r="D25">
        <v>1633.03</v>
      </c>
      <c r="E25">
        <v>5</v>
      </c>
      <c r="F25">
        <v>4</v>
      </c>
      <c r="G25">
        <v>8</v>
      </c>
      <c r="H25">
        <v>15</v>
      </c>
      <c r="I25">
        <v>3.0617931085160708E-3</v>
      </c>
      <c r="J25">
        <v>2.4494344868128569E-3</v>
      </c>
      <c r="K25">
        <v>4.8988689736257146E-3</v>
      </c>
      <c r="L25">
        <v>9.1853793255482138E-3</v>
      </c>
    </row>
    <row r="26" spans="1:12">
      <c r="A26" s="1">
        <v>24</v>
      </c>
      <c r="B26" t="s">
        <v>35</v>
      </c>
      <c r="C26" t="s">
        <v>180</v>
      </c>
      <c r="D26">
        <v>3771.32</v>
      </c>
      <c r="E26">
        <v>13</v>
      </c>
      <c r="F26">
        <v>18</v>
      </c>
      <c r="G26">
        <v>7</v>
      </c>
      <c r="H26">
        <v>21</v>
      </c>
      <c r="I26">
        <v>3.447068930772249E-3</v>
      </c>
      <c r="J26">
        <v>4.7728646733769609E-3</v>
      </c>
      <c r="K26">
        <v>1.856114039646596E-3</v>
      </c>
      <c r="L26">
        <v>5.5683421189397873E-3</v>
      </c>
    </row>
    <row r="27" spans="1:12">
      <c r="A27" s="1">
        <v>25</v>
      </c>
      <c r="B27" t="s">
        <v>36</v>
      </c>
      <c r="C27" t="s">
        <v>181</v>
      </c>
      <c r="D27">
        <v>10816.4</v>
      </c>
      <c r="E27">
        <v>31</v>
      </c>
      <c r="F27">
        <v>12</v>
      </c>
      <c r="G27">
        <v>44</v>
      </c>
      <c r="H27">
        <v>89</v>
      </c>
      <c r="I27">
        <v>2.866018268555157E-3</v>
      </c>
      <c r="J27">
        <v>1.10942642653748E-3</v>
      </c>
      <c r="K27">
        <v>4.0678968973040944E-3</v>
      </c>
      <c r="L27">
        <v>8.2282459968196445E-3</v>
      </c>
    </row>
    <row r="28" spans="1:12">
      <c r="A28" s="1">
        <v>26</v>
      </c>
      <c r="B28" t="s">
        <v>37</v>
      </c>
      <c r="C28" t="s">
        <v>182</v>
      </c>
      <c r="D28">
        <v>1977.9</v>
      </c>
      <c r="E28">
        <v>5</v>
      </c>
      <c r="F28">
        <v>1</v>
      </c>
      <c r="G28">
        <v>6</v>
      </c>
      <c r="H28">
        <v>27</v>
      </c>
      <c r="I28">
        <v>2.5279336670205768E-3</v>
      </c>
      <c r="J28">
        <v>5.0558673340411547E-4</v>
      </c>
      <c r="K28">
        <v>3.033520400424693E-3</v>
      </c>
      <c r="L28">
        <v>1.3650841801911119E-2</v>
      </c>
    </row>
    <row r="29" spans="1:12">
      <c r="A29" s="1">
        <v>27</v>
      </c>
      <c r="B29" t="s">
        <v>38</v>
      </c>
      <c r="C29" t="s">
        <v>183</v>
      </c>
      <c r="D29">
        <v>9261.39</v>
      </c>
      <c r="E29">
        <v>18</v>
      </c>
      <c r="F29">
        <v>8</v>
      </c>
      <c r="G29">
        <v>54</v>
      </c>
      <c r="H29">
        <v>81</v>
      </c>
      <c r="I29">
        <v>1.943552749641253E-3</v>
      </c>
      <c r="J29">
        <v>8.6380122206277895E-4</v>
      </c>
      <c r="K29">
        <v>5.8306582489237582E-3</v>
      </c>
      <c r="L29">
        <v>8.7459873733856369E-3</v>
      </c>
    </row>
    <row r="30" spans="1:12">
      <c r="A30" s="1">
        <v>28</v>
      </c>
      <c r="B30" t="s">
        <v>39</v>
      </c>
      <c r="C30" t="s">
        <v>184</v>
      </c>
      <c r="D30">
        <v>1039.71</v>
      </c>
      <c r="E30">
        <v>4</v>
      </c>
      <c r="F30">
        <v>4</v>
      </c>
      <c r="G30">
        <v>3</v>
      </c>
      <c r="H30">
        <v>3</v>
      </c>
      <c r="I30">
        <v>3.847226630502736E-3</v>
      </c>
      <c r="J30">
        <v>3.847226630502736E-3</v>
      </c>
      <c r="K30">
        <v>2.8854199728770521E-3</v>
      </c>
      <c r="L30">
        <v>2.8854199728770521E-3</v>
      </c>
    </row>
    <row r="31" spans="1:12">
      <c r="A31" s="1">
        <v>29</v>
      </c>
      <c r="B31" t="s">
        <v>40</v>
      </c>
      <c r="C31" t="s">
        <v>185</v>
      </c>
      <c r="D31">
        <v>53584.57</v>
      </c>
      <c r="E31">
        <v>179</v>
      </c>
      <c r="F31">
        <v>112</v>
      </c>
      <c r="G31">
        <v>221</v>
      </c>
      <c r="H31">
        <v>297</v>
      </c>
      <c r="I31">
        <v>3.3405138830077388E-3</v>
      </c>
      <c r="J31">
        <v>2.090153937971323E-3</v>
      </c>
      <c r="K31">
        <v>4.1243216097469849E-3</v>
      </c>
      <c r="L31">
        <v>5.5426403533703822E-3</v>
      </c>
    </row>
    <row r="32" spans="1:12">
      <c r="A32" s="1">
        <v>30</v>
      </c>
      <c r="B32" t="s">
        <v>41</v>
      </c>
      <c r="C32" t="s">
        <v>186</v>
      </c>
      <c r="D32">
        <v>15279.27</v>
      </c>
      <c r="E32">
        <v>53</v>
      </c>
      <c r="F32">
        <v>15</v>
      </c>
      <c r="G32">
        <v>68</v>
      </c>
      <c r="H32">
        <v>153</v>
      </c>
      <c r="I32">
        <v>3.4687521066124232E-3</v>
      </c>
      <c r="J32">
        <v>9.8172229432427066E-4</v>
      </c>
      <c r="K32">
        <v>4.4504744009366938E-3</v>
      </c>
      <c r="L32">
        <v>1.001356740210756E-2</v>
      </c>
    </row>
    <row r="33" spans="1:12">
      <c r="A33" s="1">
        <v>31</v>
      </c>
      <c r="B33" t="s">
        <v>42</v>
      </c>
      <c r="C33" t="s">
        <v>187</v>
      </c>
      <c r="D33">
        <v>10896.23</v>
      </c>
      <c r="E33">
        <v>46</v>
      </c>
      <c r="F33">
        <v>30</v>
      </c>
      <c r="G33">
        <v>38</v>
      </c>
      <c r="H33">
        <v>146</v>
      </c>
      <c r="I33">
        <v>4.2216436327059924E-3</v>
      </c>
      <c r="J33">
        <v>2.7532458474169509E-3</v>
      </c>
      <c r="K33">
        <v>3.487444740061471E-3</v>
      </c>
      <c r="L33">
        <v>1.3399129790762489E-2</v>
      </c>
    </row>
    <row r="34" spans="1:12">
      <c r="A34" s="1">
        <v>32</v>
      </c>
      <c r="B34" t="s">
        <v>43</v>
      </c>
      <c r="C34" t="s">
        <v>188</v>
      </c>
      <c r="D34">
        <v>12968.47</v>
      </c>
      <c r="E34">
        <v>32</v>
      </c>
      <c r="F34">
        <v>15</v>
      </c>
      <c r="G34">
        <v>92</v>
      </c>
      <c r="H34">
        <v>117</v>
      </c>
      <c r="I34">
        <v>2.4675231542348481E-3</v>
      </c>
      <c r="J34">
        <v>1.1566514785475851E-3</v>
      </c>
      <c r="K34">
        <v>7.0941290684251876E-3</v>
      </c>
      <c r="L34">
        <v>9.0218815326711631E-3</v>
      </c>
    </row>
    <row r="35" spans="1:12">
      <c r="A35" s="1">
        <v>33</v>
      </c>
      <c r="B35" t="s">
        <v>44</v>
      </c>
      <c r="C35" t="s">
        <v>189</v>
      </c>
      <c r="D35">
        <v>8791.35</v>
      </c>
      <c r="E35">
        <v>19</v>
      </c>
      <c r="F35">
        <v>16</v>
      </c>
      <c r="G35">
        <v>51</v>
      </c>
      <c r="H35">
        <v>117</v>
      </c>
      <c r="I35">
        <v>2.161215285479477E-3</v>
      </c>
      <c r="J35">
        <v>1.81997076671956E-3</v>
      </c>
      <c r="K35">
        <v>5.8011568189185962E-3</v>
      </c>
      <c r="L35">
        <v>1.330853623163678E-2</v>
      </c>
    </row>
    <row r="36" spans="1:12">
      <c r="A36" s="1">
        <v>34</v>
      </c>
      <c r="B36" t="s">
        <v>45</v>
      </c>
      <c r="C36" t="s">
        <v>190</v>
      </c>
      <c r="D36">
        <v>1095.95</v>
      </c>
      <c r="E36">
        <v>3</v>
      </c>
      <c r="F36">
        <v>4</v>
      </c>
      <c r="G36">
        <v>4</v>
      </c>
      <c r="H36">
        <v>8</v>
      </c>
      <c r="I36">
        <v>2.7373511565308641E-3</v>
      </c>
      <c r="J36">
        <v>3.6498015420411509E-3</v>
      </c>
      <c r="K36">
        <v>3.6498015420411509E-3</v>
      </c>
      <c r="L36">
        <v>7.2996030840823027E-3</v>
      </c>
    </row>
    <row r="37" spans="1:12">
      <c r="A37" s="1">
        <v>35</v>
      </c>
      <c r="B37" t="s">
        <v>46</v>
      </c>
      <c r="C37" t="s">
        <v>191</v>
      </c>
      <c r="D37">
        <v>5922.72</v>
      </c>
      <c r="E37">
        <v>21</v>
      </c>
      <c r="F37">
        <v>6</v>
      </c>
      <c r="G37">
        <v>18</v>
      </c>
      <c r="H37">
        <v>58</v>
      </c>
      <c r="I37">
        <v>3.5456682064997158E-3</v>
      </c>
      <c r="J37">
        <v>1.013048058999919E-3</v>
      </c>
      <c r="K37">
        <v>3.039144176999757E-3</v>
      </c>
      <c r="L37">
        <v>9.7927979036658824E-3</v>
      </c>
    </row>
    <row r="38" spans="1:12">
      <c r="A38" s="1">
        <v>36</v>
      </c>
      <c r="B38" t="s">
        <v>47</v>
      </c>
      <c r="C38" t="s">
        <v>192</v>
      </c>
      <c r="D38">
        <v>2914.12</v>
      </c>
      <c r="E38">
        <v>11</v>
      </c>
      <c r="F38">
        <v>4</v>
      </c>
      <c r="G38">
        <v>8</v>
      </c>
      <c r="H38">
        <v>26</v>
      </c>
      <c r="I38">
        <v>3.7747244451155071E-3</v>
      </c>
      <c r="J38">
        <v>1.3726270709510931E-3</v>
      </c>
      <c r="K38">
        <v>2.745254141902187E-3</v>
      </c>
      <c r="L38">
        <v>8.9220759611821059E-3</v>
      </c>
    </row>
    <row r="39" spans="1:12">
      <c r="A39" s="1">
        <v>37</v>
      </c>
      <c r="B39" t="s">
        <v>48</v>
      </c>
      <c r="C39" t="s">
        <v>193</v>
      </c>
      <c r="D39">
        <v>6484.64</v>
      </c>
      <c r="E39">
        <v>21</v>
      </c>
      <c r="F39">
        <v>7</v>
      </c>
      <c r="G39">
        <v>30</v>
      </c>
      <c r="H39">
        <v>85</v>
      </c>
      <c r="I39">
        <v>3.2384218707592091E-3</v>
      </c>
      <c r="J39">
        <v>1.079473956919736E-3</v>
      </c>
      <c r="K39">
        <v>4.6263169582274419E-3</v>
      </c>
      <c r="L39">
        <v>1.3107898048311089E-2</v>
      </c>
    </row>
    <row r="40" spans="1:12">
      <c r="A40" s="1">
        <v>38</v>
      </c>
      <c r="B40" t="s">
        <v>49</v>
      </c>
      <c r="C40" t="s">
        <v>194</v>
      </c>
      <c r="D40">
        <v>592.12</v>
      </c>
      <c r="E40">
        <v>5</v>
      </c>
      <c r="F40">
        <v>0</v>
      </c>
      <c r="G40">
        <v>0</v>
      </c>
      <c r="H40">
        <v>0</v>
      </c>
      <c r="I40">
        <v>8.4442342768357766E-3</v>
      </c>
      <c r="J40">
        <v>0</v>
      </c>
      <c r="K40">
        <v>0</v>
      </c>
      <c r="L40">
        <v>0</v>
      </c>
    </row>
    <row r="41" spans="1:12">
      <c r="A41" s="1">
        <v>39</v>
      </c>
      <c r="B41" t="s">
        <v>50</v>
      </c>
      <c r="C41" t="s">
        <v>195</v>
      </c>
      <c r="D41">
        <v>1771.83</v>
      </c>
      <c r="E41">
        <v>7</v>
      </c>
      <c r="F41">
        <v>4</v>
      </c>
      <c r="G41">
        <v>4</v>
      </c>
      <c r="H41">
        <v>1</v>
      </c>
      <c r="I41">
        <v>3.9507176196361951E-3</v>
      </c>
      <c r="J41">
        <v>2.257552925506398E-3</v>
      </c>
      <c r="K41">
        <v>2.257552925506398E-3</v>
      </c>
      <c r="L41">
        <v>5.6438823137659939E-4</v>
      </c>
    </row>
    <row r="42" spans="1:12">
      <c r="A42" s="1">
        <v>40</v>
      </c>
      <c r="B42" t="s">
        <v>51</v>
      </c>
      <c r="C42" t="s">
        <v>196</v>
      </c>
      <c r="D42">
        <v>10743.12</v>
      </c>
      <c r="E42">
        <v>26</v>
      </c>
      <c r="F42">
        <v>5</v>
      </c>
      <c r="G42">
        <v>105</v>
      </c>
      <c r="H42">
        <v>94</v>
      </c>
      <c r="I42">
        <v>2.4201535494344281E-3</v>
      </c>
      <c r="J42">
        <v>4.6541414412200549E-4</v>
      </c>
      <c r="K42">
        <v>9.7736970265621149E-3</v>
      </c>
      <c r="L42">
        <v>8.7497859094937038E-3</v>
      </c>
    </row>
    <row r="43" spans="1:12">
      <c r="A43" s="1">
        <v>41</v>
      </c>
      <c r="B43" t="s">
        <v>52</v>
      </c>
      <c r="C43" t="s">
        <v>197</v>
      </c>
      <c r="D43">
        <v>8340.48</v>
      </c>
      <c r="E43">
        <v>25</v>
      </c>
      <c r="F43">
        <v>12</v>
      </c>
      <c r="G43">
        <v>33</v>
      </c>
      <c r="H43">
        <v>97</v>
      </c>
      <c r="I43">
        <v>2.9974294045426639E-3</v>
      </c>
      <c r="J43">
        <v>1.4387661141804791E-3</v>
      </c>
      <c r="K43">
        <v>3.9566068139963171E-3</v>
      </c>
      <c r="L43">
        <v>1.163002608962554E-2</v>
      </c>
    </row>
    <row r="44" spans="1:12">
      <c r="A44" s="1">
        <v>42</v>
      </c>
      <c r="B44" t="s">
        <v>53</v>
      </c>
      <c r="C44" t="s">
        <v>198</v>
      </c>
      <c r="D44">
        <v>46.24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4.3252595155709339E-2</v>
      </c>
    </row>
    <row r="45" spans="1:12">
      <c r="A45" s="1">
        <v>43</v>
      </c>
      <c r="B45" t="s">
        <v>54</v>
      </c>
      <c r="C45" t="s">
        <v>199</v>
      </c>
      <c r="D45">
        <v>5595.44</v>
      </c>
      <c r="E45">
        <v>9</v>
      </c>
      <c r="F45">
        <v>4</v>
      </c>
      <c r="G45">
        <v>33</v>
      </c>
      <c r="H45">
        <v>53</v>
      </c>
      <c r="I45">
        <v>1.608452597114794E-3</v>
      </c>
      <c r="J45">
        <v>7.1486782093990828E-4</v>
      </c>
      <c r="K45">
        <v>5.8976595227542431E-3</v>
      </c>
      <c r="L45">
        <v>9.4719986274537839E-3</v>
      </c>
    </row>
    <row r="46" spans="1:12">
      <c r="A46" s="1">
        <v>44</v>
      </c>
      <c r="B46" t="s">
        <v>55</v>
      </c>
      <c r="C46" t="s">
        <v>200</v>
      </c>
      <c r="D46">
        <v>5201.01</v>
      </c>
      <c r="E46">
        <v>11</v>
      </c>
      <c r="F46">
        <v>1</v>
      </c>
      <c r="G46">
        <v>38</v>
      </c>
      <c r="H46">
        <v>113</v>
      </c>
      <c r="I46">
        <v>2.1149738223921891E-3</v>
      </c>
      <c r="J46">
        <v>1.92270347490199E-4</v>
      </c>
      <c r="K46">
        <v>7.3062732046275626E-3</v>
      </c>
      <c r="L46">
        <v>2.1726549266392489E-2</v>
      </c>
    </row>
    <row r="47" spans="1:12">
      <c r="A47" s="1">
        <v>45</v>
      </c>
      <c r="B47" t="s">
        <v>56</v>
      </c>
      <c r="C47" t="s">
        <v>201</v>
      </c>
      <c r="D47">
        <v>741.58</v>
      </c>
      <c r="E47">
        <v>2</v>
      </c>
      <c r="F47">
        <v>0</v>
      </c>
      <c r="G47">
        <v>7</v>
      </c>
      <c r="H47">
        <v>23</v>
      </c>
      <c r="I47">
        <v>2.6969443620378109E-3</v>
      </c>
      <c r="J47">
        <v>0</v>
      </c>
      <c r="K47">
        <v>9.4393052671323391E-3</v>
      </c>
      <c r="L47">
        <v>3.101486016343483E-2</v>
      </c>
    </row>
    <row r="48" spans="1:12">
      <c r="A48" s="1">
        <v>46</v>
      </c>
      <c r="B48" t="s">
        <v>57</v>
      </c>
      <c r="C48" t="s">
        <v>202</v>
      </c>
      <c r="D48">
        <v>5297.85</v>
      </c>
      <c r="E48">
        <v>17</v>
      </c>
      <c r="F48">
        <v>43</v>
      </c>
      <c r="G48">
        <v>12</v>
      </c>
      <c r="H48">
        <v>0</v>
      </c>
      <c r="I48">
        <v>3.2088488726558879E-3</v>
      </c>
      <c r="J48">
        <v>8.1165000896590116E-3</v>
      </c>
      <c r="K48">
        <v>2.26506979246298E-3</v>
      </c>
      <c r="L48">
        <v>0</v>
      </c>
    </row>
    <row r="49" spans="1:12">
      <c r="A49" s="1">
        <v>47</v>
      </c>
      <c r="B49" t="s">
        <v>58</v>
      </c>
      <c r="C49" t="s">
        <v>203</v>
      </c>
      <c r="D49">
        <v>10199.82</v>
      </c>
      <c r="E49">
        <v>49</v>
      </c>
      <c r="F49">
        <v>15</v>
      </c>
      <c r="G49">
        <v>55</v>
      </c>
      <c r="H49">
        <v>32</v>
      </c>
      <c r="I49">
        <v>4.8040063452100138E-3</v>
      </c>
      <c r="J49">
        <v>1.470614187309188E-3</v>
      </c>
      <c r="K49">
        <v>5.3922520201336891E-3</v>
      </c>
      <c r="L49">
        <v>3.1373102662596011E-3</v>
      </c>
    </row>
    <row r="50" spans="1:12">
      <c r="A50" s="1">
        <v>48</v>
      </c>
      <c r="B50" t="s">
        <v>59</v>
      </c>
      <c r="C50" t="s">
        <v>204</v>
      </c>
      <c r="D50">
        <v>3809.2</v>
      </c>
      <c r="E50">
        <v>16</v>
      </c>
      <c r="F50">
        <v>9</v>
      </c>
      <c r="G50">
        <v>12</v>
      </c>
      <c r="H50">
        <v>46</v>
      </c>
      <c r="I50">
        <v>4.2003570303475804E-3</v>
      </c>
      <c r="J50">
        <v>2.362700829570514E-3</v>
      </c>
      <c r="K50">
        <v>3.1502677727606849E-3</v>
      </c>
      <c r="L50">
        <v>1.2076026462249289E-2</v>
      </c>
    </row>
    <row r="51" spans="1:12">
      <c r="A51" s="1">
        <v>49</v>
      </c>
      <c r="B51" t="s">
        <v>60</v>
      </c>
      <c r="C51" t="s">
        <v>205</v>
      </c>
      <c r="D51">
        <v>5460.55</v>
      </c>
      <c r="E51">
        <v>14</v>
      </c>
      <c r="F51">
        <v>2</v>
      </c>
      <c r="G51">
        <v>55</v>
      </c>
      <c r="H51">
        <v>118</v>
      </c>
      <c r="I51">
        <v>2.5638443013982111E-3</v>
      </c>
      <c r="J51">
        <v>3.662634716283158E-4</v>
      </c>
      <c r="K51">
        <v>1.007224546977869E-2</v>
      </c>
      <c r="L51">
        <v>2.160954482607063E-2</v>
      </c>
    </row>
    <row r="52" spans="1:12">
      <c r="A52" s="1">
        <v>50</v>
      </c>
      <c r="B52" t="s">
        <v>61</v>
      </c>
      <c r="C52" t="s">
        <v>206</v>
      </c>
      <c r="D52">
        <v>7113.21</v>
      </c>
      <c r="E52">
        <v>67</v>
      </c>
      <c r="F52">
        <v>58</v>
      </c>
      <c r="G52">
        <v>0</v>
      </c>
      <c r="H52">
        <v>0</v>
      </c>
      <c r="I52">
        <v>9.4190948952723175E-3</v>
      </c>
      <c r="J52">
        <v>8.1538433421760367E-3</v>
      </c>
      <c r="K52">
        <v>0</v>
      </c>
      <c r="L52">
        <v>0</v>
      </c>
    </row>
    <row r="53" spans="1:12">
      <c r="A53" s="1">
        <v>51</v>
      </c>
      <c r="B53" t="s">
        <v>62</v>
      </c>
      <c r="C53" t="s">
        <v>207</v>
      </c>
      <c r="D53">
        <v>2802.36</v>
      </c>
      <c r="E53">
        <v>17</v>
      </c>
      <c r="F53">
        <v>2</v>
      </c>
      <c r="G53">
        <v>11</v>
      </c>
      <c r="H53">
        <v>0</v>
      </c>
      <c r="I53">
        <v>6.0663155340498721E-3</v>
      </c>
      <c r="J53">
        <v>7.1368418047645552E-4</v>
      </c>
      <c r="K53">
        <v>3.9252629926205054E-3</v>
      </c>
      <c r="L53">
        <v>0</v>
      </c>
    </row>
    <row r="54" spans="1:12">
      <c r="A54" s="1">
        <v>52</v>
      </c>
      <c r="B54" t="s">
        <v>63</v>
      </c>
      <c r="C54" t="s">
        <v>208</v>
      </c>
      <c r="D54">
        <v>4090.12</v>
      </c>
      <c r="E54">
        <v>15</v>
      </c>
      <c r="F54">
        <v>32</v>
      </c>
      <c r="G54">
        <v>10</v>
      </c>
      <c r="H54">
        <v>0</v>
      </c>
      <c r="I54">
        <v>3.667374062374698E-3</v>
      </c>
      <c r="J54">
        <v>7.8237313330660231E-3</v>
      </c>
      <c r="K54">
        <v>2.444916041583132E-3</v>
      </c>
      <c r="L54">
        <v>0</v>
      </c>
    </row>
    <row r="55" spans="1:12">
      <c r="A55" s="1">
        <v>53</v>
      </c>
      <c r="B55" t="s">
        <v>64</v>
      </c>
      <c r="C55" t="s">
        <v>209</v>
      </c>
      <c r="D55">
        <v>41448.400000000001</v>
      </c>
      <c r="E55">
        <v>93</v>
      </c>
      <c r="F55">
        <v>11</v>
      </c>
      <c r="G55">
        <v>166</v>
      </c>
      <c r="H55">
        <v>379</v>
      </c>
      <c r="I55">
        <v>2.2437536792735062E-3</v>
      </c>
      <c r="J55">
        <v>2.6539022012912441E-4</v>
      </c>
      <c r="K55">
        <v>4.0049796855849678E-3</v>
      </c>
      <c r="L55">
        <v>9.14389940263074E-3</v>
      </c>
    </row>
    <row r="56" spans="1:12">
      <c r="A56" s="1">
        <v>54</v>
      </c>
      <c r="B56" t="s">
        <v>65</v>
      </c>
      <c r="C56" t="s">
        <v>210</v>
      </c>
      <c r="D56">
        <v>5091.24</v>
      </c>
      <c r="E56">
        <v>16</v>
      </c>
      <c r="F56">
        <v>31</v>
      </c>
      <c r="G56">
        <v>11</v>
      </c>
      <c r="H56">
        <v>0</v>
      </c>
      <c r="I56">
        <v>3.142652870420566E-3</v>
      </c>
      <c r="J56">
        <v>6.0888899364398459E-3</v>
      </c>
      <c r="K56">
        <v>2.1605738484141391E-3</v>
      </c>
      <c r="L56">
        <v>0</v>
      </c>
    </row>
    <row r="57" spans="1:12">
      <c r="A57" s="1">
        <v>55</v>
      </c>
      <c r="B57" t="s">
        <v>66</v>
      </c>
      <c r="C57" t="s">
        <v>211</v>
      </c>
      <c r="D57">
        <v>11095.55</v>
      </c>
      <c r="E57">
        <v>81</v>
      </c>
      <c r="F57">
        <v>1</v>
      </c>
      <c r="G57">
        <v>38</v>
      </c>
      <c r="H57">
        <v>74</v>
      </c>
      <c r="I57">
        <v>7.3002239636611082E-3</v>
      </c>
      <c r="J57">
        <v>9.0126221773593926E-5</v>
      </c>
      <c r="K57">
        <v>3.424796427396569E-3</v>
      </c>
      <c r="L57">
        <v>6.6693404112459507E-3</v>
      </c>
    </row>
    <row r="58" spans="1:12">
      <c r="A58" s="1">
        <v>56</v>
      </c>
      <c r="B58" t="s">
        <v>67</v>
      </c>
      <c r="C58" t="s">
        <v>212</v>
      </c>
      <c r="D58">
        <v>1110.81</v>
      </c>
      <c r="E58">
        <v>4</v>
      </c>
      <c r="F58">
        <v>2</v>
      </c>
      <c r="G58">
        <v>10</v>
      </c>
      <c r="H58">
        <v>15</v>
      </c>
      <c r="I58">
        <v>3.6009758644592691E-3</v>
      </c>
      <c r="J58">
        <v>1.8004879322296339E-3</v>
      </c>
      <c r="K58">
        <v>9.0024396611481719E-3</v>
      </c>
      <c r="L58">
        <v>1.350365949172226E-2</v>
      </c>
    </row>
    <row r="59" spans="1:12">
      <c r="A59" s="1">
        <v>57</v>
      </c>
      <c r="B59" t="s">
        <v>68</v>
      </c>
      <c r="C59" t="s">
        <v>213</v>
      </c>
      <c r="D59">
        <v>1159.21</v>
      </c>
      <c r="E59">
        <v>4</v>
      </c>
      <c r="F59">
        <v>2</v>
      </c>
      <c r="G59">
        <v>10</v>
      </c>
      <c r="H59">
        <v>22</v>
      </c>
      <c r="I59">
        <v>3.4506258572648608E-3</v>
      </c>
      <c r="J59">
        <v>1.725312928632431E-3</v>
      </c>
      <c r="K59">
        <v>8.6265646431621535E-3</v>
      </c>
      <c r="L59">
        <v>1.8978442214956742E-2</v>
      </c>
    </row>
    <row r="60" spans="1:12">
      <c r="A60" s="1">
        <v>58</v>
      </c>
      <c r="B60" t="s">
        <v>69</v>
      </c>
      <c r="C60" t="s">
        <v>214</v>
      </c>
      <c r="D60">
        <v>6110.91</v>
      </c>
      <c r="E60">
        <v>26</v>
      </c>
      <c r="F60">
        <v>43</v>
      </c>
      <c r="G60">
        <v>12</v>
      </c>
      <c r="H60">
        <v>0</v>
      </c>
      <c r="I60">
        <v>4.254685472376455E-3</v>
      </c>
      <c r="J60">
        <v>7.0365952043149058E-3</v>
      </c>
      <c r="K60">
        <v>1.9637009872506711E-3</v>
      </c>
      <c r="L60">
        <v>0</v>
      </c>
    </row>
    <row r="61" spans="1:12">
      <c r="A61" s="1">
        <v>59</v>
      </c>
      <c r="B61" t="s">
        <v>70</v>
      </c>
      <c r="C61" t="s">
        <v>215</v>
      </c>
      <c r="D61">
        <v>4005.47</v>
      </c>
      <c r="E61">
        <v>17</v>
      </c>
      <c r="F61">
        <v>5</v>
      </c>
      <c r="G61">
        <v>20</v>
      </c>
      <c r="H61">
        <v>54</v>
      </c>
      <c r="I61">
        <v>4.2441960618853723E-3</v>
      </c>
      <c r="J61">
        <v>1.248292959378051E-3</v>
      </c>
      <c r="K61">
        <v>4.9931718375122022E-3</v>
      </c>
      <c r="L61">
        <v>1.3481563961282949E-2</v>
      </c>
    </row>
    <row r="62" spans="1:12">
      <c r="A62" s="1">
        <v>60</v>
      </c>
      <c r="B62" t="s">
        <v>71</v>
      </c>
      <c r="C62" t="s">
        <v>216</v>
      </c>
      <c r="D62">
        <v>5431.7</v>
      </c>
      <c r="E62">
        <v>22</v>
      </c>
      <c r="F62">
        <v>6</v>
      </c>
      <c r="G62">
        <v>21</v>
      </c>
      <c r="H62">
        <v>36</v>
      </c>
      <c r="I62">
        <v>4.0502973286448071E-3</v>
      </c>
      <c r="J62">
        <v>1.104626544175857E-3</v>
      </c>
      <c r="K62">
        <v>3.866192904615498E-3</v>
      </c>
      <c r="L62">
        <v>6.6277592650551397E-3</v>
      </c>
    </row>
    <row r="63" spans="1:12">
      <c r="A63" s="1">
        <v>61</v>
      </c>
      <c r="B63" t="s">
        <v>72</v>
      </c>
      <c r="C63" t="s">
        <v>217</v>
      </c>
      <c r="D63">
        <v>9594.51</v>
      </c>
      <c r="E63">
        <v>36</v>
      </c>
      <c r="F63">
        <v>59</v>
      </c>
      <c r="G63">
        <v>43</v>
      </c>
      <c r="H63">
        <v>0</v>
      </c>
      <c r="I63">
        <v>3.752145758355559E-3</v>
      </c>
      <c r="J63">
        <v>6.1493499928605014E-3</v>
      </c>
      <c r="K63">
        <v>4.4817296558135851E-3</v>
      </c>
      <c r="L63">
        <v>0</v>
      </c>
    </row>
    <row r="64" spans="1:12">
      <c r="A64" s="1">
        <v>62</v>
      </c>
      <c r="B64" t="s">
        <v>73</v>
      </c>
      <c r="C64" t="s">
        <v>218</v>
      </c>
      <c r="D64">
        <v>1752.14</v>
      </c>
      <c r="E64">
        <v>48</v>
      </c>
      <c r="F64">
        <v>6</v>
      </c>
      <c r="G64">
        <v>17</v>
      </c>
      <c r="H64">
        <v>65</v>
      </c>
      <c r="I64">
        <v>2.739507117011198E-2</v>
      </c>
      <c r="J64">
        <v>3.4243838962639971E-3</v>
      </c>
      <c r="K64">
        <v>9.7024210394146583E-3</v>
      </c>
      <c r="L64">
        <v>3.7097492209526628E-2</v>
      </c>
    </row>
    <row r="65" spans="1:12">
      <c r="A65" s="1">
        <v>63</v>
      </c>
      <c r="B65" t="s">
        <v>74</v>
      </c>
      <c r="C65" t="s">
        <v>219</v>
      </c>
      <c r="D65">
        <v>5363.13</v>
      </c>
      <c r="E65">
        <v>46</v>
      </c>
      <c r="F65">
        <v>28</v>
      </c>
      <c r="G65">
        <v>3</v>
      </c>
      <c r="H65">
        <v>0</v>
      </c>
      <c r="I65">
        <v>8.5770809210293248E-3</v>
      </c>
      <c r="J65">
        <v>5.2208318649743712E-3</v>
      </c>
      <c r="K65">
        <v>5.5937484267582546E-4</v>
      </c>
      <c r="L65">
        <v>0</v>
      </c>
    </row>
    <row r="66" spans="1:12">
      <c r="A66" s="1">
        <v>64</v>
      </c>
      <c r="B66" t="s">
        <v>75</v>
      </c>
      <c r="C66" t="s">
        <v>220</v>
      </c>
      <c r="D66">
        <v>13034.04</v>
      </c>
      <c r="E66">
        <v>53</v>
      </c>
      <c r="F66">
        <v>74</v>
      </c>
      <c r="G66">
        <v>19</v>
      </c>
      <c r="H66">
        <v>29</v>
      </c>
      <c r="I66">
        <v>4.0662756904229231E-3</v>
      </c>
      <c r="J66">
        <v>5.6774415300244576E-3</v>
      </c>
      <c r="K66">
        <v>1.4577214739251989E-3</v>
      </c>
      <c r="L66">
        <v>2.2249433023068818E-3</v>
      </c>
    </row>
    <row r="67" spans="1:12">
      <c r="A67" s="1">
        <v>65</v>
      </c>
      <c r="B67" t="s">
        <v>76</v>
      </c>
      <c r="C67" t="s">
        <v>221</v>
      </c>
      <c r="D67">
        <v>12284.61</v>
      </c>
      <c r="E67">
        <v>71</v>
      </c>
      <c r="F67">
        <v>10</v>
      </c>
      <c r="G67">
        <v>33</v>
      </c>
      <c r="H67">
        <v>110</v>
      </c>
      <c r="I67">
        <v>5.7795892584298564E-3</v>
      </c>
      <c r="J67">
        <v>8.1402665611688112E-4</v>
      </c>
      <c r="K67">
        <v>2.6862879651857081E-3</v>
      </c>
      <c r="L67">
        <v>8.9542932172856932E-3</v>
      </c>
    </row>
    <row r="68" spans="1:12">
      <c r="A68" s="1">
        <v>66</v>
      </c>
      <c r="B68" t="s">
        <v>77</v>
      </c>
      <c r="C68" t="s">
        <v>222</v>
      </c>
      <c r="D68">
        <v>6769.99</v>
      </c>
      <c r="E68">
        <v>48</v>
      </c>
      <c r="F68">
        <v>64</v>
      </c>
      <c r="G68">
        <v>18</v>
      </c>
      <c r="H68">
        <v>0</v>
      </c>
      <c r="I68">
        <v>7.0901138701829694E-3</v>
      </c>
      <c r="J68">
        <v>9.4534851602439598E-3</v>
      </c>
      <c r="K68">
        <v>2.658792701318614E-3</v>
      </c>
      <c r="L68">
        <v>0</v>
      </c>
    </row>
    <row r="69" spans="1:12">
      <c r="A69" s="1">
        <v>67</v>
      </c>
      <c r="B69" t="s">
        <v>78</v>
      </c>
      <c r="C69" t="s">
        <v>223</v>
      </c>
      <c r="D69">
        <v>250.24</v>
      </c>
      <c r="E69">
        <v>1</v>
      </c>
      <c r="F69">
        <v>0</v>
      </c>
      <c r="G69">
        <v>3</v>
      </c>
      <c r="H69">
        <v>16</v>
      </c>
      <c r="I69">
        <v>3.9961636828644504E-3</v>
      </c>
      <c r="J69">
        <v>0</v>
      </c>
      <c r="K69">
        <v>1.198849104859335E-2</v>
      </c>
      <c r="L69">
        <v>6.3938618925831206E-2</v>
      </c>
    </row>
    <row r="70" spans="1:12">
      <c r="A70" s="1">
        <v>68</v>
      </c>
      <c r="B70" t="s">
        <v>79</v>
      </c>
      <c r="C70" t="s">
        <v>224</v>
      </c>
      <c r="D70">
        <v>2288.5500000000002</v>
      </c>
      <c r="E70">
        <v>11</v>
      </c>
      <c r="F70">
        <v>8</v>
      </c>
      <c r="G70">
        <v>14</v>
      </c>
      <c r="H70">
        <v>27</v>
      </c>
      <c r="I70">
        <v>4.8065368901706318E-3</v>
      </c>
      <c r="J70">
        <v>3.495663192851369E-3</v>
      </c>
      <c r="K70">
        <v>6.1174105874898946E-3</v>
      </c>
      <c r="L70">
        <v>1.179786327587337E-2</v>
      </c>
    </row>
    <row r="71" spans="1:12">
      <c r="A71" s="1">
        <v>69</v>
      </c>
      <c r="B71" t="s">
        <v>80</v>
      </c>
      <c r="C71" t="s">
        <v>225</v>
      </c>
      <c r="D71">
        <v>3766.26</v>
      </c>
      <c r="E71">
        <v>23</v>
      </c>
      <c r="F71">
        <v>9</v>
      </c>
      <c r="G71">
        <v>14</v>
      </c>
      <c r="H71">
        <v>46</v>
      </c>
      <c r="I71">
        <v>6.1068540143272114E-3</v>
      </c>
      <c r="J71">
        <v>2.3896385273454298E-3</v>
      </c>
      <c r="K71">
        <v>3.7172154869817798E-3</v>
      </c>
      <c r="L71">
        <v>1.2213708028654419E-2</v>
      </c>
    </row>
    <row r="72" spans="1:12">
      <c r="A72" s="1">
        <v>70</v>
      </c>
      <c r="B72" t="s">
        <v>81</v>
      </c>
      <c r="C72" t="s">
        <v>226</v>
      </c>
      <c r="D72">
        <v>1701.12</v>
      </c>
      <c r="E72">
        <v>27</v>
      </c>
      <c r="F72">
        <v>40</v>
      </c>
      <c r="G72">
        <v>28</v>
      </c>
      <c r="H72">
        <v>19</v>
      </c>
      <c r="I72">
        <v>1.587189616252822E-2</v>
      </c>
      <c r="J72">
        <v>2.351392024078254E-2</v>
      </c>
      <c r="K72">
        <v>1.6459744168547778E-2</v>
      </c>
      <c r="L72">
        <v>1.116911211437171E-2</v>
      </c>
    </row>
    <row r="73" spans="1:12">
      <c r="A73" s="1">
        <v>71</v>
      </c>
      <c r="B73" t="s">
        <v>82</v>
      </c>
      <c r="C73" t="s">
        <v>227</v>
      </c>
      <c r="D73">
        <v>6062.68</v>
      </c>
      <c r="E73">
        <v>39</v>
      </c>
      <c r="F73">
        <v>24</v>
      </c>
      <c r="G73">
        <v>23</v>
      </c>
      <c r="H73">
        <v>53</v>
      </c>
      <c r="I73">
        <v>6.4327986962861303E-3</v>
      </c>
      <c r="J73">
        <v>3.9586453515606957E-3</v>
      </c>
      <c r="K73">
        <v>3.7937017952456671E-3</v>
      </c>
      <c r="L73">
        <v>8.7420084846965371E-3</v>
      </c>
    </row>
    <row r="74" spans="1:12">
      <c r="A74" s="1">
        <v>72</v>
      </c>
      <c r="B74" t="s">
        <v>83</v>
      </c>
      <c r="C74" t="s">
        <v>228</v>
      </c>
      <c r="D74">
        <v>10052.41</v>
      </c>
      <c r="E74">
        <v>43</v>
      </c>
      <c r="F74">
        <v>52</v>
      </c>
      <c r="G74">
        <v>62</v>
      </c>
      <c r="H74">
        <v>30</v>
      </c>
      <c r="I74">
        <v>4.2775811969468017E-3</v>
      </c>
      <c r="J74">
        <v>5.1728888893310164E-3</v>
      </c>
      <c r="K74">
        <v>6.1676752142023651E-3</v>
      </c>
      <c r="L74">
        <v>2.9843589746140482E-3</v>
      </c>
    </row>
    <row r="75" spans="1:12">
      <c r="A75" s="1">
        <v>73</v>
      </c>
      <c r="B75" t="s">
        <v>84</v>
      </c>
      <c r="C75" t="s">
        <v>229</v>
      </c>
      <c r="D75">
        <v>3943.66</v>
      </c>
      <c r="E75">
        <v>28</v>
      </c>
      <c r="F75">
        <v>20</v>
      </c>
      <c r="G75">
        <v>11</v>
      </c>
      <c r="H75">
        <v>29</v>
      </c>
      <c r="I75">
        <v>7.1000035500017756E-3</v>
      </c>
      <c r="J75">
        <v>5.0714311071441264E-3</v>
      </c>
      <c r="K75">
        <v>2.7892871089292689E-3</v>
      </c>
      <c r="L75">
        <v>7.3535751053589813E-3</v>
      </c>
    </row>
    <row r="76" spans="1:12">
      <c r="A76" s="1">
        <v>74</v>
      </c>
      <c r="B76" t="s">
        <v>85</v>
      </c>
      <c r="C76" t="s">
        <v>230</v>
      </c>
      <c r="D76">
        <v>565.64</v>
      </c>
      <c r="E76">
        <v>4</v>
      </c>
      <c r="F76">
        <v>2</v>
      </c>
      <c r="G76">
        <v>2</v>
      </c>
      <c r="H76">
        <v>6</v>
      </c>
      <c r="I76">
        <v>7.0716356693303166E-3</v>
      </c>
      <c r="J76">
        <v>3.5358178346651579E-3</v>
      </c>
      <c r="K76">
        <v>3.5358178346651579E-3</v>
      </c>
      <c r="L76">
        <v>1.060745350399547E-2</v>
      </c>
    </row>
    <row r="77" spans="1:12">
      <c r="A77" s="1">
        <v>75</v>
      </c>
      <c r="B77" t="s">
        <v>86</v>
      </c>
      <c r="C77" t="s">
        <v>231</v>
      </c>
      <c r="D77">
        <v>11641.14</v>
      </c>
      <c r="E77">
        <v>153</v>
      </c>
      <c r="F77">
        <v>68</v>
      </c>
      <c r="G77">
        <v>106</v>
      </c>
      <c r="H77">
        <v>57</v>
      </c>
      <c r="I77">
        <v>1.3143042691695139E-2</v>
      </c>
      <c r="J77">
        <v>5.8413523074200644E-3</v>
      </c>
      <c r="K77">
        <v>9.1056374203900992E-3</v>
      </c>
      <c r="L77">
        <v>4.896427669455054E-3</v>
      </c>
    </row>
    <row r="78" spans="1:12">
      <c r="A78" s="1">
        <v>76</v>
      </c>
      <c r="B78" t="s">
        <v>87</v>
      </c>
      <c r="C78" t="s">
        <v>232</v>
      </c>
      <c r="D78">
        <v>2693.46</v>
      </c>
      <c r="E78">
        <v>3</v>
      </c>
      <c r="F78">
        <v>15</v>
      </c>
      <c r="G78">
        <v>1</v>
      </c>
      <c r="H78">
        <v>17</v>
      </c>
      <c r="I78">
        <v>1.113809004031989E-3</v>
      </c>
      <c r="J78">
        <v>5.5690450201599431E-3</v>
      </c>
      <c r="K78">
        <v>3.7126966801066292E-4</v>
      </c>
      <c r="L78">
        <v>6.3115843561812688E-3</v>
      </c>
    </row>
    <row r="79" spans="1:12">
      <c r="A79" s="1">
        <v>77</v>
      </c>
      <c r="B79" t="s">
        <v>88</v>
      </c>
      <c r="C79" t="s">
        <v>233</v>
      </c>
      <c r="D79">
        <v>4454.37</v>
      </c>
      <c r="E79">
        <v>13</v>
      </c>
      <c r="F79">
        <v>1</v>
      </c>
      <c r="G79">
        <v>37</v>
      </c>
      <c r="H79">
        <v>45</v>
      </c>
      <c r="I79">
        <v>2.9184822994048538E-3</v>
      </c>
      <c r="J79">
        <v>2.2449863841575801E-4</v>
      </c>
      <c r="K79">
        <v>8.3064496213830462E-3</v>
      </c>
      <c r="L79">
        <v>1.010243872870911E-2</v>
      </c>
    </row>
    <row r="80" spans="1:12">
      <c r="A80" s="1">
        <v>78</v>
      </c>
      <c r="B80" t="s">
        <v>89</v>
      </c>
      <c r="C80" t="s">
        <v>234</v>
      </c>
      <c r="D80">
        <v>144.88999999999999</v>
      </c>
      <c r="E80">
        <v>1</v>
      </c>
      <c r="F80">
        <v>0</v>
      </c>
      <c r="G80">
        <v>1</v>
      </c>
      <c r="H80">
        <v>0</v>
      </c>
      <c r="I80">
        <v>6.9017875629788124E-3</v>
      </c>
      <c r="J80">
        <v>0</v>
      </c>
      <c r="K80">
        <v>6.9017875629788124E-3</v>
      </c>
      <c r="L80">
        <v>0</v>
      </c>
    </row>
    <row r="81" spans="1:12">
      <c r="A81" s="1">
        <v>79</v>
      </c>
      <c r="B81" t="s">
        <v>90</v>
      </c>
      <c r="C81" t="s">
        <v>235</v>
      </c>
      <c r="D81">
        <v>5606.62</v>
      </c>
      <c r="E81">
        <v>32</v>
      </c>
      <c r="F81">
        <v>11</v>
      </c>
      <c r="G81">
        <v>47</v>
      </c>
      <c r="H81">
        <v>116</v>
      </c>
      <c r="I81">
        <v>5.7075385883116744E-3</v>
      </c>
      <c r="J81">
        <v>1.9619663897321379E-3</v>
      </c>
      <c r="K81">
        <v>8.3829473015827726E-3</v>
      </c>
      <c r="L81">
        <v>2.0689827382629821E-2</v>
      </c>
    </row>
    <row r="82" spans="1:12">
      <c r="A82" s="1">
        <v>80</v>
      </c>
      <c r="B82" t="s">
        <v>91</v>
      </c>
      <c r="C82" t="s">
        <v>236</v>
      </c>
      <c r="D82">
        <v>6340.37</v>
      </c>
      <c r="E82">
        <v>46</v>
      </c>
      <c r="F82">
        <v>36</v>
      </c>
      <c r="G82">
        <v>8</v>
      </c>
      <c r="H82">
        <v>19</v>
      </c>
      <c r="I82">
        <v>7.2550971000115132E-3</v>
      </c>
      <c r="J82">
        <v>5.6779020782698796E-3</v>
      </c>
      <c r="K82">
        <v>1.261756017393307E-3</v>
      </c>
      <c r="L82">
        <v>2.9966705413091029E-3</v>
      </c>
    </row>
    <row r="83" spans="1:12">
      <c r="A83" s="1">
        <v>81</v>
      </c>
      <c r="B83" t="s">
        <v>92</v>
      </c>
      <c r="C83" t="s">
        <v>237</v>
      </c>
      <c r="D83">
        <v>199.78</v>
      </c>
      <c r="E83">
        <v>2</v>
      </c>
      <c r="F83">
        <v>1</v>
      </c>
      <c r="G83">
        <v>0</v>
      </c>
      <c r="H83">
        <v>2</v>
      </c>
      <c r="I83">
        <v>1.001101211332466E-2</v>
      </c>
      <c r="J83">
        <v>5.0055060566623283E-3</v>
      </c>
      <c r="K83">
        <v>0</v>
      </c>
      <c r="L83">
        <v>1.001101211332466E-2</v>
      </c>
    </row>
    <row r="84" spans="1:12">
      <c r="A84" s="1">
        <v>82</v>
      </c>
      <c r="B84" t="s">
        <v>93</v>
      </c>
      <c r="C84" t="s">
        <v>238</v>
      </c>
      <c r="D84">
        <v>5385.76</v>
      </c>
      <c r="E84">
        <v>5</v>
      </c>
      <c r="F84">
        <v>1</v>
      </c>
      <c r="G84">
        <v>9</v>
      </c>
      <c r="H84">
        <v>27</v>
      </c>
      <c r="I84">
        <v>9.2837408276640618E-4</v>
      </c>
      <c r="J84">
        <v>1.8567481655328119E-4</v>
      </c>
      <c r="K84">
        <v>1.671073348979531E-3</v>
      </c>
      <c r="L84">
        <v>5.0132200469385933E-3</v>
      </c>
    </row>
    <row r="85" spans="1:12">
      <c r="A85" s="1">
        <v>83</v>
      </c>
      <c r="B85" t="s">
        <v>94</v>
      </c>
      <c r="C85" t="s">
        <v>239</v>
      </c>
      <c r="D85">
        <v>1998.98</v>
      </c>
      <c r="E85">
        <v>20</v>
      </c>
      <c r="F85">
        <v>8</v>
      </c>
      <c r="G85">
        <v>12</v>
      </c>
      <c r="H85">
        <v>12</v>
      </c>
      <c r="I85">
        <v>1.000510260232719E-2</v>
      </c>
      <c r="J85">
        <v>4.0020410409308746E-3</v>
      </c>
      <c r="K85">
        <v>6.0030615613963119E-3</v>
      </c>
      <c r="L85">
        <v>6.0030615613963119E-3</v>
      </c>
    </row>
    <row r="86" spans="1:12">
      <c r="A86" s="1">
        <v>84</v>
      </c>
      <c r="B86" t="s">
        <v>95</v>
      </c>
      <c r="C86" t="s">
        <v>240</v>
      </c>
      <c r="D86">
        <v>10478.93</v>
      </c>
      <c r="E86">
        <v>66</v>
      </c>
      <c r="F86">
        <v>33</v>
      </c>
      <c r="G86">
        <v>92</v>
      </c>
      <c r="H86">
        <v>130</v>
      </c>
      <c r="I86">
        <v>6.2983529806955483E-3</v>
      </c>
      <c r="J86">
        <v>3.1491764903477742E-3</v>
      </c>
      <c r="K86">
        <v>8.7795223367271268E-3</v>
      </c>
      <c r="L86">
        <v>1.24058467801579E-2</v>
      </c>
    </row>
    <row r="87" spans="1:12">
      <c r="A87" s="1">
        <v>85</v>
      </c>
      <c r="B87" t="s">
        <v>96</v>
      </c>
      <c r="C87" t="s">
        <v>241</v>
      </c>
      <c r="D87">
        <v>9686.39</v>
      </c>
      <c r="E87">
        <v>75</v>
      </c>
      <c r="F87">
        <v>9</v>
      </c>
      <c r="G87">
        <v>39</v>
      </c>
      <c r="H87">
        <v>38</v>
      </c>
      <c r="I87">
        <v>7.7428226614868912E-3</v>
      </c>
      <c r="J87">
        <v>9.2913871937842687E-4</v>
      </c>
      <c r="K87">
        <v>4.0262677839731833E-3</v>
      </c>
      <c r="L87">
        <v>3.9230301484866918E-3</v>
      </c>
    </row>
    <row r="88" spans="1:12">
      <c r="A88" s="1">
        <v>86</v>
      </c>
      <c r="B88" t="s">
        <v>97</v>
      </c>
      <c r="C88" t="s">
        <v>242</v>
      </c>
      <c r="D88">
        <v>2445.41</v>
      </c>
      <c r="E88">
        <v>21</v>
      </c>
      <c r="F88">
        <v>6</v>
      </c>
      <c r="G88">
        <v>12</v>
      </c>
      <c r="H88">
        <v>41</v>
      </c>
      <c r="I88">
        <v>8.587517021685526E-3</v>
      </c>
      <c r="J88">
        <v>2.45357629191015E-3</v>
      </c>
      <c r="K88">
        <v>4.9071525838203E-3</v>
      </c>
      <c r="L88">
        <v>1.676610466138603E-2</v>
      </c>
    </row>
    <row r="89" spans="1:12">
      <c r="A89" s="1">
        <v>87</v>
      </c>
      <c r="B89" t="s">
        <v>98</v>
      </c>
      <c r="C89" t="s">
        <v>243</v>
      </c>
      <c r="D89">
        <v>426.31</v>
      </c>
      <c r="E89">
        <v>2</v>
      </c>
      <c r="F89">
        <v>0</v>
      </c>
      <c r="G89">
        <v>5</v>
      </c>
      <c r="H89">
        <v>19</v>
      </c>
      <c r="I89">
        <v>4.6914217353568998E-3</v>
      </c>
      <c r="J89">
        <v>0</v>
      </c>
      <c r="K89">
        <v>1.172855433839225E-2</v>
      </c>
      <c r="L89">
        <v>4.4568506485890551E-2</v>
      </c>
    </row>
    <row r="90" spans="1:12">
      <c r="A90" s="1">
        <v>88</v>
      </c>
      <c r="B90" t="s">
        <v>99</v>
      </c>
      <c r="C90" t="s">
        <v>244</v>
      </c>
      <c r="D90">
        <v>706.47</v>
      </c>
      <c r="E90">
        <v>6</v>
      </c>
      <c r="F90">
        <v>1</v>
      </c>
      <c r="G90">
        <v>2</v>
      </c>
      <c r="H90">
        <v>6</v>
      </c>
      <c r="I90">
        <v>8.4929296360779644E-3</v>
      </c>
      <c r="J90">
        <v>1.4154882726796611E-3</v>
      </c>
      <c r="K90">
        <v>2.8309765453593222E-3</v>
      </c>
      <c r="L90">
        <v>8.4929296360779644E-3</v>
      </c>
    </row>
    <row r="91" spans="1:12">
      <c r="A91" s="1">
        <v>89</v>
      </c>
      <c r="B91" t="s">
        <v>100</v>
      </c>
      <c r="C91" t="s">
        <v>245</v>
      </c>
      <c r="D91">
        <v>1431.92</v>
      </c>
      <c r="E91">
        <v>10</v>
      </c>
      <c r="F91">
        <v>10</v>
      </c>
      <c r="G91">
        <v>11</v>
      </c>
      <c r="H91">
        <v>28</v>
      </c>
      <c r="I91">
        <v>6.9836303704117536E-3</v>
      </c>
      <c r="J91">
        <v>6.9836303704117536E-3</v>
      </c>
      <c r="K91">
        <v>7.6819934074529297E-3</v>
      </c>
      <c r="L91">
        <v>1.9554165037152911E-2</v>
      </c>
    </row>
    <row r="92" spans="1:12">
      <c r="A92" s="1">
        <v>90</v>
      </c>
      <c r="B92" t="s">
        <v>101</v>
      </c>
      <c r="C92" t="s">
        <v>246</v>
      </c>
      <c r="D92">
        <v>3732.32</v>
      </c>
      <c r="E92">
        <v>28</v>
      </c>
      <c r="F92">
        <v>19</v>
      </c>
      <c r="G92">
        <v>17</v>
      </c>
      <c r="H92">
        <v>56</v>
      </c>
      <c r="I92">
        <v>7.5020362669867531E-3</v>
      </c>
      <c r="J92">
        <v>5.0906674668838676E-3</v>
      </c>
      <c r="K92">
        <v>4.5548077335276719E-3</v>
      </c>
      <c r="L92">
        <v>1.500407253397351E-2</v>
      </c>
    </row>
    <row r="93" spans="1:12">
      <c r="A93" s="1">
        <v>91</v>
      </c>
      <c r="B93" t="s">
        <v>102</v>
      </c>
      <c r="C93" t="s">
        <v>247</v>
      </c>
      <c r="D93">
        <v>11571.39</v>
      </c>
      <c r="E93">
        <v>102</v>
      </c>
      <c r="F93">
        <v>40</v>
      </c>
      <c r="G93">
        <v>40</v>
      </c>
      <c r="H93">
        <v>147</v>
      </c>
      <c r="I93">
        <v>8.8148441976288079E-3</v>
      </c>
      <c r="J93">
        <v>3.456801646128944E-3</v>
      </c>
      <c r="K93">
        <v>3.456801646128944E-3</v>
      </c>
      <c r="L93">
        <v>1.270374604952387E-2</v>
      </c>
    </row>
    <row r="94" spans="1:12">
      <c r="A94" s="1">
        <v>92</v>
      </c>
      <c r="B94" t="s">
        <v>103</v>
      </c>
      <c r="C94" t="s">
        <v>248</v>
      </c>
      <c r="D94">
        <v>24629.66</v>
      </c>
      <c r="E94">
        <v>199</v>
      </c>
      <c r="F94">
        <v>135</v>
      </c>
      <c r="G94">
        <v>152</v>
      </c>
      <c r="H94">
        <v>287</v>
      </c>
      <c r="I94">
        <v>8.0796892851951671E-3</v>
      </c>
      <c r="J94">
        <v>5.4811962487504914E-3</v>
      </c>
      <c r="K94">
        <v>6.1714209615561077E-3</v>
      </c>
      <c r="L94">
        <v>1.1652617210306601E-2</v>
      </c>
    </row>
    <row r="95" spans="1:12">
      <c r="A95" s="1">
        <v>93</v>
      </c>
      <c r="B95" t="s">
        <v>104</v>
      </c>
      <c r="C95" t="s">
        <v>249</v>
      </c>
      <c r="D95">
        <v>4821.9799999999996</v>
      </c>
      <c r="E95">
        <v>21</v>
      </c>
      <c r="F95">
        <v>74</v>
      </c>
      <c r="G95">
        <v>14</v>
      </c>
      <c r="H95">
        <v>0</v>
      </c>
      <c r="I95">
        <v>4.3550574660201832E-3</v>
      </c>
      <c r="J95">
        <v>1.534639297549969E-2</v>
      </c>
      <c r="K95">
        <v>2.9033716440134551E-3</v>
      </c>
      <c r="L95">
        <v>0</v>
      </c>
    </row>
    <row r="96" spans="1:12">
      <c r="A96" s="1">
        <v>94</v>
      </c>
      <c r="B96" t="s">
        <v>105</v>
      </c>
      <c r="C96" t="s">
        <v>250</v>
      </c>
      <c r="D96">
        <v>2994.29</v>
      </c>
      <c r="E96">
        <v>30</v>
      </c>
      <c r="F96">
        <v>12</v>
      </c>
      <c r="G96">
        <v>16</v>
      </c>
      <c r="H96">
        <v>37</v>
      </c>
      <c r="I96">
        <v>1.001906962919423E-2</v>
      </c>
      <c r="J96">
        <v>4.0076278516776934E-3</v>
      </c>
      <c r="K96">
        <v>5.3435038022369248E-3</v>
      </c>
      <c r="L96">
        <v>1.2356852542672891E-2</v>
      </c>
    </row>
    <row r="97" spans="1:12">
      <c r="A97" s="1">
        <v>95</v>
      </c>
      <c r="B97" t="s">
        <v>106</v>
      </c>
      <c r="C97" t="s">
        <v>251</v>
      </c>
      <c r="D97">
        <v>6706.35</v>
      </c>
      <c r="E97">
        <v>17</v>
      </c>
      <c r="F97">
        <v>9</v>
      </c>
      <c r="G97">
        <v>124</v>
      </c>
      <c r="H97">
        <v>158</v>
      </c>
      <c r="I97">
        <v>2.5349109426140901E-3</v>
      </c>
      <c r="J97">
        <v>1.3420116755015769E-3</v>
      </c>
      <c r="K97">
        <v>1.8489938640243949E-2</v>
      </c>
      <c r="L97">
        <v>2.355976052547213E-2</v>
      </c>
    </row>
    <row r="98" spans="1:12">
      <c r="A98" s="1">
        <v>96</v>
      </c>
      <c r="B98" t="s">
        <v>107</v>
      </c>
      <c r="C98" t="s">
        <v>252</v>
      </c>
      <c r="D98">
        <v>2997.57</v>
      </c>
      <c r="E98">
        <v>44</v>
      </c>
      <c r="F98">
        <v>14</v>
      </c>
      <c r="G98">
        <v>9</v>
      </c>
      <c r="H98">
        <v>31</v>
      </c>
      <c r="I98">
        <v>1.4678556297267451E-2</v>
      </c>
      <c r="J98">
        <v>4.6704497309487348E-3</v>
      </c>
      <c r="K98">
        <v>3.0024319698956151E-3</v>
      </c>
      <c r="L98">
        <v>1.034171011852934E-2</v>
      </c>
    </row>
    <row r="99" spans="1:12">
      <c r="A99" s="1">
        <v>97</v>
      </c>
      <c r="B99" t="s">
        <v>108</v>
      </c>
      <c r="C99" t="s">
        <v>253</v>
      </c>
      <c r="D99">
        <v>5997.78</v>
      </c>
      <c r="E99">
        <v>48</v>
      </c>
      <c r="F99">
        <v>32</v>
      </c>
      <c r="G99">
        <v>31</v>
      </c>
      <c r="H99">
        <v>99</v>
      </c>
      <c r="I99">
        <v>8.0029610956053737E-3</v>
      </c>
      <c r="J99">
        <v>5.3353073970702491E-3</v>
      </c>
      <c r="K99">
        <v>5.1685790409118039E-3</v>
      </c>
      <c r="L99">
        <v>1.6506107259686081E-2</v>
      </c>
    </row>
    <row r="100" spans="1:12">
      <c r="A100" s="1">
        <v>98</v>
      </c>
      <c r="B100" t="s">
        <v>109</v>
      </c>
      <c r="C100" t="s">
        <v>254</v>
      </c>
      <c r="D100">
        <v>1675</v>
      </c>
      <c r="E100">
        <v>11</v>
      </c>
      <c r="F100">
        <v>7</v>
      </c>
      <c r="G100">
        <v>12</v>
      </c>
      <c r="H100">
        <v>22</v>
      </c>
      <c r="I100">
        <v>6.5671641791044772E-3</v>
      </c>
      <c r="J100">
        <v>4.1791044776119399E-3</v>
      </c>
      <c r="K100">
        <v>7.164179104477612E-3</v>
      </c>
      <c r="L100">
        <v>1.3134328358208949E-2</v>
      </c>
    </row>
    <row r="101" spans="1:12">
      <c r="A101" s="1">
        <v>99</v>
      </c>
      <c r="B101" t="s">
        <v>110</v>
      </c>
      <c r="C101" t="s">
        <v>255</v>
      </c>
      <c r="D101">
        <v>6459.61</v>
      </c>
      <c r="E101">
        <v>122</v>
      </c>
      <c r="F101">
        <v>50</v>
      </c>
      <c r="G101">
        <v>30</v>
      </c>
      <c r="H101">
        <v>49</v>
      </c>
      <c r="I101">
        <v>1.888658912844584E-2</v>
      </c>
      <c r="J101">
        <v>7.7404053805105889E-3</v>
      </c>
      <c r="K101">
        <v>4.6442432283063531E-3</v>
      </c>
      <c r="L101">
        <v>7.5855972729003771E-3</v>
      </c>
    </row>
    <row r="102" spans="1:12">
      <c r="A102" s="1">
        <v>100</v>
      </c>
      <c r="B102" t="s">
        <v>111</v>
      </c>
      <c r="C102" t="s">
        <v>256</v>
      </c>
      <c r="D102">
        <v>242.19</v>
      </c>
      <c r="E102">
        <v>4</v>
      </c>
      <c r="F102">
        <v>0</v>
      </c>
      <c r="G102">
        <v>0</v>
      </c>
      <c r="H102">
        <v>3</v>
      </c>
      <c r="I102">
        <v>1.6515958544944049E-2</v>
      </c>
      <c r="J102">
        <v>0</v>
      </c>
      <c r="K102">
        <v>0</v>
      </c>
      <c r="L102">
        <v>1.2386968908708039E-2</v>
      </c>
    </row>
    <row r="103" spans="1:12">
      <c r="A103" s="1">
        <v>101</v>
      </c>
      <c r="B103" t="s">
        <v>112</v>
      </c>
      <c r="C103" t="s">
        <v>257</v>
      </c>
      <c r="D103">
        <v>19245.419999999998</v>
      </c>
      <c r="E103">
        <v>241</v>
      </c>
      <c r="F103">
        <v>144</v>
      </c>
      <c r="G103">
        <v>46</v>
      </c>
      <c r="H103">
        <v>115</v>
      </c>
      <c r="I103">
        <v>1.2522459889158051E-2</v>
      </c>
      <c r="J103">
        <v>7.4822996848081264E-3</v>
      </c>
      <c r="K103">
        <v>2.390179065980374E-3</v>
      </c>
      <c r="L103">
        <v>5.9754476649509346E-3</v>
      </c>
    </row>
    <row r="104" spans="1:12">
      <c r="A104" s="1">
        <v>102</v>
      </c>
      <c r="B104" t="s">
        <v>113</v>
      </c>
      <c r="C104" t="s">
        <v>258</v>
      </c>
      <c r="D104">
        <v>2840.26</v>
      </c>
      <c r="E104">
        <v>63</v>
      </c>
      <c r="F104">
        <v>33</v>
      </c>
      <c r="G104">
        <v>26</v>
      </c>
      <c r="H104">
        <v>50</v>
      </c>
      <c r="I104">
        <v>2.2181067930400741E-2</v>
      </c>
      <c r="J104">
        <v>1.1618654630209909E-2</v>
      </c>
      <c r="K104">
        <v>9.1540915268320498E-3</v>
      </c>
      <c r="L104">
        <v>1.7604022166984711E-2</v>
      </c>
    </row>
    <row r="105" spans="1:12">
      <c r="A105" s="1">
        <v>103</v>
      </c>
      <c r="B105" t="s">
        <v>114</v>
      </c>
      <c r="C105" t="s">
        <v>259</v>
      </c>
      <c r="D105">
        <v>11460.99</v>
      </c>
      <c r="E105">
        <v>146</v>
      </c>
      <c r="F105">
        <v>51</v>
      </c>
      <c r="G105">
        <v>57</v>
      </c>
      <c r="H105">
        <v>95</v>
      </c>
      <c r="I105">
        <v>1.273886461815253E-2</v>
      </c>
      <c r="J105">
        <v>4.4498773666149256E-3</v>
      </c>
      <c r="K105">
        <v>4.9733923509225654E-3</v>
      </c>
      <c r="L105">
        <v>8.2889872515376078E-3</v>
      </c>
    </row>
    <row r="106" spans="1:12">
      <c r="A106" s="1">
        <v>104</v>
      </c>
      <c r="B106" t="s">
        <v>115</v>
      </c>
      <c r="C106" t="s">
        <v>260</v>
      </c>
      <c r="D106">
        <v>8512.6299999999992</v>
      </c>
      <c r="E106">
        <v>124</v>
      </c>
      <c r="F106">
        <v>48</v>
      </c>
      <c r="G106">
        <v>34</v>
      </c>
      <c r="H106">
        <v>70</v>
      </c>
      <c r="I106">
        <v>1.4566591053528701E-2</v>
      </c>
      <c r="J106">
        <v>5.6386804078175611E-3</v>
      </c>
      <c r="K106">
        <v>3.9940652888707734E-3</v>
      </c>
      <c r="L106">
        <v>8.2230755947339425E-3</v>
      </c>
    </row>
    <row r="107" spans="1:12">
      <c r="A107" s="1">
        <v>105</v>
      </c>
      <c r="B107" t="s">
        <v>116</v>
      </c>
      <c r="C107" t="s">
        <v>261</v>
      </c>
      <c r="D107">
        <v>585.64</v>
      </c>
      <c r="E107">
        <v>4</v>
      </c>
      <c r="F107">
        <v>1</v>
      </c>
      <c r="G107">
        <v>9</v>
      </c>
      <c r="H107">
        <v>26</v>
      </c>
      <c r="I107">
        <v>6.8301345536507067E-3</v>
      </c>
      <c r="J107">
        <v>1.7075336384126769E-3</v>
      </c>
      <c r="K107">
        <v>1.5367802745714089E-2</v>
      </c>
      <c r="L107">
        <v>4.4395874598729602E-2</v>
      </c>
    </row>
    <row r="108" spans="1:12">
      <c r="A108" s="1">
        <v>106</v>
      </c>
      <c r="B108" t="s">
        <v>117</v>
      </c>
      <c r="C108" t="s">
        <v>262</v>
      </c>
      <c r="D108">
        <v>6776.19</v>
      </c>
      <c r="E108">
        <v>84</v>
      </c>
      <c r="F108">
        <v>41</v>
      </c>
      <c r="G108">
        <v>30</v>
      </c>
      <c r="H108">
        <v>148</v>
      </c>
      <c r="I108">
        <v>1.2396346619560549E-2</v>
      </c>
      <c r="J108">
        <v>6.0505977547855062E-3</v>
      </c>
      <c r="K108">
        <v>4.4272666498430544E-3</v>
      </c>
      <c r="L108">
        <v>2.1841182139225729E-2</v>
      </c>
    </row>
    <row r="109" spans="1:12">
      <c r="A109" s="1">
        <v>107</v>
      </c>
      <c r="B109" t="s">
        <v>118</v>
      </c>
      <c r="C109" t="s">
        <v>263</v>
      </c>
      <c r="D109">
        <v>1071.31</v>
      </c>
      <c r="E109">
        <v>22</v>
      </c>
      <c r="F109">
        <v>20</v>
      </c>
      <c r="G109">
        <v>5</v>
      </c>
      <c r="H109">
        <v>17</v>
      </c>
      <c r="I109">
        <v>2.0535605940390739E-2</v>
      </c>
      <c r="J109">
        <v>1.8668732673082489E-2</v>
      </c>
      <c r="K109">
        <v>4.6671831682706224E-3</v>
      </c>
      <c r="L109">
        <v>1.5868422772120111E-2</v>
      </c>
    </row>
    <row r="110" spans="1:12">
      <c r="A110" s="1">
        <v>108</v>
      </c>
      <c r="B110" t="s">
        <v>119</v>
      </c>
      <c r="C110" t="s">
        <v>264</v>
      </c>
      <c r="D110">
        <v>5849.3</v>
      </c>
      <c r="E110">
        <v>21</v>
      </c>
      <c r="F110">
        <v>54</v>
      </c>
      <c r="G110">
        <v>98</v>
      </c>
      <c r="H110">
        <v>91</v>
      </c>
      <c r="I110">
        <v>3.5901731831159281E-3</v>
      </c>
      <c r="J110">
        <v>9.231873899440959E-3</v>
      </c>
      <c r="K110">
        <v>1.6754141521207661E-2</v>
      </c>
      <c r="L110">
        <v>1.555741712683569E-2</v>
      </c>
    </row>
    <row r="111" spans="1:12">
      <c r="A111" s="1">
        <v>109</v>
      </c>
      <c r="B111" t="s">
        <v>120</v>
      </c>
      <c r="C111" t="s">
        <v>265</v>
      </c>
      <c r="D111">
        <v>5591.34</v>
      </c>
      <c r="E111">
        <v>86</v>
      </c>
      <c r="F111">
        <v>22</v>
      </c>
      <c r="G111">
        <v>25</v>
      </c>
      <c r="H111">
        <v>101</v>
      </c>
      <c r="I111">
        <v>1.538092836422038E-2</v>
      </c>
      <c r="J111">
        <v>3.9346560931726561E-3</v>
      </c>
      <c r="K111">
        <v>4.471200105878018E-3</v>
      </c>
      <c r="L111">
        <v>1.806364842774719E-2</v>
      </c>
    </row>
    <row r="112" spans="1:12">
      <c r="A112" s="1">
        <v>110</v>
      </c>
      <c r="B112" t="s">
        <v>121</v>
      </c>
      <c r="C112" t="s">
        <v>266</v>
      </c>
      <c r="D112">
        <v>12812.46</v>
      </c>
      <c r="E112">
        <v>174</v>
      </c>
      <c r="F112">
        <v>44</v>
      </c>
      <c r="G112">
        <v>82</v>
      </c>
      <c r="H112">
        <v>238</v>
      </c>
      <c r="I112">
        <v>1.3580530202630879E-2</v>
      </c>
      <c r="J112">
        <v>3.4341570627342451E-3</v>
      </c>
      <c r="K112">
        <v>6.4000199805501834E-3</v>
      </c>
      <c r="L112">
        <v>1.8575667748426141E-2</v>
      </c>
    </row>
    <row r="113" spans="1:12">
      <c r="A113" s="1">
        <v>111</v>
      </c>
      <c r="B113" t="s">
        <v>122</v>
      </c>
      <c r="C113" t="s">
        <v>267</v>
      </c>
      <c r="D113">
        <v>3989.33</v>
      </c>
      <c r="E113">
        <v>57</v>
      </c>
      <c r="F113">
        <v>31</v>
      </c>
      <c r="G113">
        <v>20</v>
      </c>
      <c r="H113">
        <v>50</v>
      </c>
      <c r="I113">
        <v>1.4288113542875619E-2</v>
      </c>
      <c r="J113">
        <v>7.7707284180551627E-3</v>
      </c>
      <c r="K113">
        <v>5.0133731729388141E-3</v>
      </c>
      <c r="L113">
        <v>1.253343293234704E-2</v>
      </c>
    </row>
    <row r="114" spans="1:12">
      <c r="A114" s="1">
        <v>112</v>
      </c>
      <c r="B114" t="s">
        <v>123</v>
      </c>
      <c r="C114" t="s">
        <v>268</v>
      </c>
      <c r="D114">
        <v>3584.56</v>
      </c>
      <c r="E114">
        <v>48</v>
      </c>
      <c r="F114">
        <v>28</v>
      </c>
      <c r="G114">
        <v>16</v>
      </c>
      <c r="H114">
        <v>59</v>
      </c>
      <c r="I114">
        <v>1.339076483585154E-2</v>
      </c>
      <c r="J114">
        <v>7.8112794875800657E-3</v>
      </c>
      <c r="K114">
        <v>4.4635882786171806E-3</v>
      </c>
      <c r="L114">
        <v>1.645948177740085E-2</v>
      </c>
    </row>
    <row r="115" spans="1:12">
      <c r="A115" s="1">
        <v>113</v>
      </c>
      <c r="B115" t="s">
        <v>124</v>
      </c>
      <c r="C115" t="s">
        <v>269</v>
      </c>
      <c r="D115">
        <v>1519.17</v>
      </c>
      <c r="E115">
        <v>20</v>
      </c>
      <c r="F115">
        <v>10</v>
      </c>
      <c r="G115">
        <v>7</v>
      </c>
      <c r="H115">
        <v>14</v>
      </c>
      <c r="I115">
        <v>1.3165083565367931E-2</v>
      </c>
      <c r="J115">
        <v>6.5825417826839653E-3</v>
      </c>
      <c r="K115">
        <v>4.6077792478787759E-3</v>
      </c>
      <c r="L115">
        <v>9.2155584957575518E-3</v>
      </c>
    </row>
    <row r="116" spans="1:12">
      <c r="A116" s="1">
        <v>114</v>
      </c>
      <c r="B116" t="s">
        <v>125</v>
      </c>
      <c r="C116" t="s">
        <v>270</v>
      </c>
      <c r="D116">
        <v>35325.15</v>
      </c>
      <c r="E116">
        <v>178</v>
      </c>
      <c r="F116">
        <v>770</v>
      </c>
      <c r="G116">
        <v>822</v>
      </c>
      <c r="H116">
        <v>0</v>
      </c>
      <c r="I116">
        <v>5.0389028779778706E-3</v>
      </c>
      <c r="J116">
        <v>2.17975012137245E-2</v>
      </c>
      <c r="K116">
        <v>2.3269540256729272E-2</v>
      </c>
      <c r="L116">
        <v>0</v>
      </c>
    </row>
    <row r="117" spans="1:12">
      <c r="A117" s="1">
        <v>115</v>
      </c>
      <c r="B117" t="s">
        <v>126</v>
      </c>
      <c r="C117" t="s">
        <v>271</v>
      </c>
      <c r="D117">
        <v>4307.1099999999997</v>
      </c>
      <c r="E117">
        <v>58</v>
      </c>
      <c r="F117">
        <v>22</v>
      </c>
      <c r="G117">
        <v>17</v>
      </c>
      <c r="H117">
        <v>43</v>
      </c>
      <c r="I117">
        <v>1.346610604326335E-2</v>
      </c>
      <c r="J117">
        <v>5.1078333267550631E-3</v>
      </c>
      <c r="K117">
        <v>3.9469621161289129E-3</v>
      </c>
      <c r="L117">
        <v>9.9834924113848967E-3</v>
      </c>
    </row>
    <row r="118" spans="1:12">
      <c r="A118" s="1">
        <v>116</v>
      </c>
      <c r="B118" t="s">
        <v>127</v>
      </c>
      <c r="C118" t="s">
        <v>272</v>
      </c>
      <c r="D118">
        <v>3018.73</v>
      </c>
      <c r="E118">
        <v>42</v>
      </c>
      <c r="F118">
        <v>22</v>
      </c>
      <c r="G118">
        <v>18</v>
      </c>
      <c r="H118">
        <v>29</v>
      </c>
      <c r="I118">
        <v>1.39131356563853E-2</v>
      </c>
      <c r="J118">
        <v>7.2878329628684908E-3</v>
      </c>
      <c r="K118">
        <v>5.9627724241651291E-3</v>
      </c>
      <c r="L118">
        <v>9.6066889055993736E-3</v>
      </c>
    </row>
    <row r="119" spans="1:12">
      <c r="A119" s="1">
        <v>117</v>
      </c>
      <c r="B119" t="s">
        <v>128</v>
      </c>
      <c r="C119" t="s">
        <v>273</v>
      </c>
      <c r="D119">
        <v>1416.2</v>
      </c>
      <c r="E119">
        <v>47</v>
      </c>
      <c r="F119">
        <v>32</v>
      </c>
      <c r="G119">
        <v>24</v>
      </c>
      <c r="H119">
        <v>51</v>
      </c>
      <c r="I119">
        <v>3.3187402909193607E-2</v>
      </c>
      <c r="J119">
        <v>2.2595678576472249E-2</v>
      </c>
      <c r="K119">
        <v>1.694675893235419E-2</v>
      </c>
      <c r="L119">
        <v>3.6011862731252647E-2</v>
      </c>
    </row>
    <row r="120" spans="1:12">
      <c r="A120" s="1">
        <v>118</v>
      </c>
      <c r="B120" t="s">
        <v>129</v>
      </c>
      <c r="C120" t="s">
        <v>274</v>
      </c>
      <c r="D120">
        <v>28817.599999999999</v>
      </c>
      <c r="E120">
        <v>392</v>
      </c>
      <c r="F120">
        <v>82</v>
      </c>
      <c r="G120">
        <v>174</v>
      </c>
      <c r="H120">
        <v>373</v>
      </c>
      <c r="I120">
        <v>1.360279828993393E-2</v>
      </c>
      <c r="J120">
        <v>2.8454833157514859E-3</v>
      </c>
      <c r="K120">
        <v>6.037976791960469E-3</v>
      </c>
      <c r="L120">
        <v>1.294347898506468E-2</v>
      </c>
    </row>
    <row r="121" spans="1:12">
      <c r="A121" s="1">
        <v>119</v>
      </c>
      <c r="B121" t="s">
        <v>130</v>
      </c>
      <c r="C121" t="s">
        <v>275</v>
      </c>
      <c r="D121">
        <v>3685.94</v>
      </c>
      <c r="E121">
        <v>59</v>
      </c>
      <c r="F121">
        <v>19</v>
      </c>
      <c r="G121">
        <v>26</v>
      </c>
      <c r="H121">
        <v>59</v>
      </c>
      <c r="I121">
        <v>1.600677167832357E-2</v>
      </c>
      <c r="J121">
        <v>5.1547230828499647E-3</v>
      </c>
      <c r="K121">
        <v>7.0538315870578468E-3</v>
      </c>
      <c r="L121">
        <v>1.600677167832357E-2</v>
      </c>
    </row>
    <row r="122" spans="1:12">
      <c r="A122" s="1">
        <v>120</v>
      </c>
      <c r="B122" t="s">
        <v>131</v>
      </c>
      <c r="C122" t="s">
        <v>276</v>
      </c>
      <c r="D122">
        <v>500.17</v>
      </c>
      <c r="E122">
        <v>7</v>
      </c>
      <c r="F122">
        <v>2</v>
      </c>
      <c r="G122">
        <v>4</v>
      </c>
      <c r="H122">
        <v>9</v>
      </c>
      <c r="I122">
        <v>1.3995241617849929E-2</v>
      </c>
      <c r="J122">
        <v>3.9986404622428372E-3</v>
      </c>
      <c r="K122">
        <v>7.9972809244856745E-3</v>
      </c>
      <c r="L122">
        <v>1.7993882080092768E-2</v>
      </c>
    </row>
    <row r="123" spans="1:12">
      <c r="A123" s="1">
        <v>121</v>
      </c>
      <c r="B123" t="s">
        <v>132</v>
      </c>
      <c r="C123" t="s">
        <v>277</v>
      </c>
      <c r="D123">
        <v>4285.37</v>
      </c>
      <c r="E123">
        <v>79</v>
      </c>
      <c r="F123">
        <v>19</v>
      </c>
      <c r="G123">
        <v>30</v>
      </c>
      <c r="H123">
        <v>63</v>
      </c>
      <c r="I123">
        <v>1.843481426341249E-2</v>
      </c>
      <c r="J123">
        <v>4.4336895063903474E-3</v>
      </c>
      <c r="K123">
        <v>7.0005623785110742E-3</v>
      </c>
      <c r="L123">
        <v>1.4701180994873249E-2</v>
      </c>
    </row>
    <row r="124" spans="1:12">
      <c r="A124" s="1">
        <v>122</v>
      </c>
      <c r="B124" t="s">
        <v>133</v>
      </c>
      <c r="C124" t="s">
        <v>278</v>
      </c>
      <c r="D124">
        <v>1381.32</v>
      </c>
      <c r="E124">
        <v>29</v>
      </c>
      <c r="F124">
        <v>8</v>
      </c>
      <c r="G124">
        <v>2</v>
      </c>
      <c r="H124">
        <v>15</v>
      </c>
      <c r="I124">
        <v>2.09944111429647E-2</v>
      </c>
      <c r="J124">
        <v>5.7915616946109518E-3</v>
      </c>
      <c r="K124">
        <v>1.447890423652738E-3</v>
      </c>
      <c r="L124">
        <v>1.0859178177395529E-2</v>
      </c>
    </row>
    <row r="125" spans="1:12">
      <c r="A125" s="1">
        <v>123</v>
      </c>
      <c r="B125" t="s">
        <v>134</v>
      </c>
      <c r="C125" t="s">
        <v>279</v>
      </c>
      <c r="D125">
        <v>1178.22</v>
      </c>
      <c r="E125">
        <v>22</v>
      </c>
      <c r="F125">
        <v>6</v>
      </c>
      <c r="G125">
        <v>2</v>
      </c>
      <c r="H125">
        <v>16</v>
      </c>
      <c r="I125">
        <v>1.867223438746584E-2</v>
      </c>
      <c r="J125">
        <v>5.0924275602179554E-3</v>
      </c>
      <c r="K125">
        <v>1.6974758534059849E-3</v>
      </c>
      <c r="L125">
        <v>1.3579806827247879E-2</v>
      </c>
    </row>
    <row r="126" spans="1:12">
      <c r="A126" s="1">
        <v>124</v>
      </c>
      <c r="B126" t="s">
        <v>135</v>
      </c>
      <c r="C126" t="s">
        <v>280</v>
      </c>
      <c r="D126">
        <v>4060.56</v>
      </c>
      <c r="E126">
        <v>72</v>
      </c>
      <c r="F126">
        <v>38</v>
      </c>
      <c r="G126">
        <v>30</v>
      </c>
      <c r="H126">
        <v>62</v>
      </c>
      <c r="I126">
        <v>1.7731544417518761E-2</v>
      </c>
      <c r="J126">
        <v>9.3583151092460157E-3</v>
      </c>
      <c r="K126">
        <v>7.3881435072994861E-3</v>
      </c>
      <c r="L126">
        <v>1.52688299150856E-2</v>
      </c>
    </row>
    <row r="127" spans="1:12">
      <c r="A127" s="1">
        <v>125</v>
      </c>
      <c r="B127" t="s">
        <v>136</v>
      </c>
      <c r="C127" t="s">
        <v>281</v>
      </c>
      <c r="D127">
        <v>4653.18</v>
      </c>
      <c r="E127">
        <v>68</v>
      </c>
      <c r="F127">
        <v>31</v>
      </c>
      <c r="G127">
        <v>47</v>
      </c>
      <c r="H127">
        <v>117</v>
      </c>
      <c r="I127">
        <v>1.461366205476685E-2</v>
      </c>
      <c r="J127">
        <v>6.6621106426142966E-3</v>
      </c>
      <c r="K127">
        <v>1.010061936138297E-2</v>
      </c>
      <c r="L127">
        <v>2.51440950059959E-2</v>
      </c>
    </row>
    <row r="128" spans="1:12">
      <c r="A128" s="1">
        <v>126</v>
      </c>
      <c r="B128" t="s">
        <v>137</v>
      </c>
      <c r="C128" t="s">
        <v>282</v>
      </c>
      <c r="D128">
        <v>1129.95</v>
      </c>
      <c r="E128">
        <v>19</v>
      </c>
      <c r="F128">
        <v>14</v>
      </c>
      <c r="G128">
        <v>7</v>
      </c>
      <c r="H128">
        <v>10</v>
      </c>
      <c r="I128">
        <v>1.6814903314305941E-2</v>
      </c>
      <c r="J128">
        <v>1.2389928757909639E-2</v>
      </c>
      <c r="K128">
        <v>6.1949643789548214E-3</v>
      </c>
      <c r="L128">
        <v>8.849949112792601E-3</v>
      </c>
    </row>
    <row r="129" spans="1:12">
      <c r="A129" s="1">
        <v>127</v>
      </c>
      <c r="B129" t="s">
        <v>138</v>
      </c>
      <c r="C129" t="s">
        <v>283</v>
      </c>
      <c r="D129">
        <v>6280.3</v>
      </c>
      <c r="E129">
        <v>83</v>
      </c>
      <c r="F129">
        <v>75</v>
      </c>
      <c r="G129">
        <v>52</v>
      </c>
      <c r="H129">
        <v>122</v>
      </c>
      <c r="I129">
        <v>1.321592917535786E-2</v>
      </c>
      <c r="J129">
        <v>1.194210467652819E-2</v>
      </c>
      <c r="K129">
        <v>8.2798592423928789E-3</v>
      </c>
      <c r="L129">
        <v>1.9425823607152521E-2</v>
      </c>
    </row>
    <row r="130" spans="1:12">
      <c r="A130" s="1">
        <v>128</v>
      </c>
      <c r="B130" t="s">
        <v>139</v>
      </c>
      <c r="C130" t="s">
        <v>284</v>
      </c>
      <c r="D130">
        <v>2629.69</v>
      </c>
      <c r="E130">
        <v>64</v>
      </c>
      <c r="F130">
        <v>16</v>
      </c>
      <c r="G130">
        <v>11</v>
      </c>
      <c r="H130">
        <v>34</v>
      </c>
      <c r="I130">
        <v>2.4337469435560841E-2</v>
      </c>
      <c r="J130">
        <v>6.0843673588902112E-3</v>
      </c>
      <c r="K130">
        <v>4.1830025592370203E-3</v>
      </c>
      <c r="L130">
        <v>1.2929280637641699E-2</v>
      </c>
    </row>
    <row r="131" spans="1:12">
      <c r="A131" s="1">
        <v>129</v>
      </c>
      <c r="B131" t="s">
        <v>140</v>
      </c>
      <c r="C131" t="s">
        <v>285</v>
      </c>
      <c r="D131">
        <v>26292.17</v>
      </c>
      <c r="E131">
        <v>597</v>
      </c>
      <c r="F131">
        <v>165</v>
      </c>
      <c r="G131">
        <v>131</v>
      </c>
      <c r="H131">
        <v>226</v>
      </c>
      <c r="I131">
        <v>2.270637988420127E-2</v>
      </c>
      <c r="J131">
        <v>6.2756326313119079E-3</v>
      </c>
      <c r="K131">
        <v>4.9824719678900602E-3</v>
      </c>
      <c r="L131">
        <v>8.5957149980393412E-3</v>
      </c>
    </row>
    <row r="132" spans="1:12">
      <c r="A132" s="1">
        <v>130</v>
      </c>
      <c r="B132" t="s">
        <v>141</v>
      </c>
      <c r="C132" t="s">
        <v>286</v>
      </c>
      <c r="D132">
        <v>5004.7299999999996</v>
      </c>
      <c r="E132">
        <v>106</v>
      </c>
      <c r="F132">
        <v>60</v>
      </c>
      <c r="G132">
        <v>27</v>
      </c>
      <c r="H132">
        <v>63</v>
      </c>
      <c r="I132">
        <v>2.117996375428844E-2</v>
      </c>
      <c r="J132">
        <v>1.198865872884252E-2</v>
      </c>
      <c r="K132">
        <v>5.3948964279791319E-3</v>
      </c>
      <c r="L132">
        <v>1.2588091665284641E-2</v>
      </c>
    </row>
    <row r="133" spans="1:12">
      <c r="A133" s="1">
        <v>131</v>
      </c>
      <c r="B133" t="s">
        <v>142</v>
      </c>
      <c r="C133" t="s">
        <v>287</v>
      </c>
      <c r="D133">
        <v>5985.43</v>
      </c>
      <c r="E133">
        <v>134</v>
      </c>
      <c r="F133">
        <v>92</v>
      </c>
      <c r="G133">
        <v>31</v>
      </c>
      <c r="H133">
        <v>89</v>
      </c>
      <c r="I133">
        <v>2.238769812695161E-2</v>
      </c>
      <c r="J133">
        <v>1.5370658415519021E-2</v>
      </c>
      <c r="K133">
        <v>5.1792435965335821E-3</v>
      </c>
      <c r="L133">
        <v>1.4869441293273829E-2</v>
      </c>
    </row>
    <row r="134" spans="1:12">
      <c r="A134" s="1">
        <v>132</v>
      </c>
      <c r="B134" t="s">
        <v>143</v>
      </c>
      <c r="C134" t="s">
        <v>288</v>
      </c>
      <c r="D134">
        <v>890.58</v>
      </c>
      <c r="E134">
        <v>16</v>
      </c>
      <c r="F134">
        <v>8</v>
      </c>
      <c r="G134">
        <v>15</v>
      </c>
      <c r="H134">
        <v>16</v>
      </c>
      <c r="I134">
        <v>1.796582002739788E-2</v>
      </c>
      <c r="J134">
        <v>8.982910013698938E-3</v>
      </c>
      <c r="K134">
        <v>1.6842956275685508E-2</v>
      </c>
      <c r="L134">
        <v>1.796582002739788E-2</v>
      </c>
    </row>
    <row r="135" spans="1:12">
      <c r="A135" s="1">
        <v>133</v>
      </c>
      <c r="B135" t="s">
        <v>144</v>
      </c>
      <c r="C135" t="s">
        <v>289</v>
      </c>
      <c r="D135">
        <v>44.36</v>
      </c>
      <c r="E135">
        <v>2</v>
      </c>
      <c r="F135">
        <v>2</v>
      </c>
      <c r="G135">
        <v>0</v>
      </c>
      <c r="H135">
        <v>0</v>
      </c>
      <c r="I135">
        <v>4.5085662759242563E-2</v>
      </c>
      <c r="J135">
        <v>4.5085662759242563E-2</v>
      </c>
      <c r="K135">
        <v>0</v>
      </c>
      <c r="L135">
        <v>0</v>
      </c>
    </row>
    <row r="136" spans="1:12">
      <c r="A136" s="1">
        <v>134</v>
      </c>
      <c r="B136" t="s">
        <v>145</v>
      </c>
      <c r="C136" t="s">
        <v>290</v>
      </c>
      <c r="D136">
        <v>492.26</v>
      </c>
      <c r="E136">
        <v>3</v>
      </c>
      <c r="F136">
        <v>0</v>
      </c>
      <c r="G136">
        <v>4</v>
      </c>
      <c r="H136">
        <v>9</v>
      </c>
      <c r="I136">
        <v>6.0943403892252061E-3</v>
      </c>
      <c r="J136">
        <v>0</v>
      </c>
      <c r="K136">
        <v>8.1257871856336081E-3</v>
      </c>
      <c r="L136">
        <v>1.828302116767562E-2</v>
      </c>
    </row>
    <row r="137" spans="1:12">
      <c r="A137" s="1">
        <v>135</v>
      </c>
      <c r="B137" t="s">
        <v>146</v>
      </c>
      <c r="C137" t="s">
        <v>291</v>
      </c>
      <c r="D137">
        <v>16007.3</v>
      </c>
      <c r="E137">
        <v>373</v>
      </c>
      <c r="F137">
        <v>214</v>
      </c>
      <c r="G137">
        <v>73</v>
      </c>
      <c r="H137">
        <v>239</v>
      </c>
      <c r="I137">
        <v>2.330186852248662E-2</v>
      </c>
      <c r="J137">
        <v>1.336890043917463E-2</v>
      </c>
      <c r="K137">
        <v>4.5604193086904096E-3</v>
      </c>
      <c r="L137">
        <v>1.4930687873657641E-2</v>
      </c>
    </row>
    <row r="138" spans="1:12">
      <c r="A138" s="1">
        <v>136</v>
      </c>
      <c r="B138" t="s">
        <v>147</v>
      </c>
      <c r="C138" t="s">
        <v>292</v>
      </c>
      <c r="D138">
        <v>20144.52</v>
      </c>
      <c r="E138">
        <v>528</v>
      </c>
      <c r="F138">
        <v>202</v>
      </c>
      <c r="G138">
        <v>187</v>
      </c>
      <c r="H138">
        <v>348</v>
      </c>
      <c r="I138">
        <v>2.6210602188585279E-2</v>
      </c>
      <c r="J138">
        <v>1.002754098881482E-2</v>
      </c>
      <c r="K138">
        <v>9.2829216084572876E-3</v>
      </c>
      <c r="L138">
        <v>1.7275169624294841E-2</v>
      </c>
    </row>
    <row r="139" spans="1:12">
      <c r="A139" s="1">
        <v>137</v>
      </c>
      <c r="B139" t="s">
        <v>148</v>
      </c>
      <c r="C139" t="s">
        <v>293</v>
      </c>
      <c r="D139">
        <v>22.64</v>
      </c>
      <c r="E139">
        <v>1</v>
      </c>
      <c r="F139">
        <v>0</v>
      </c>
      <c r="G139">
        <v>0</v>
      </c>
      <c r="H139">
        <v>2</v>
      </c>
      <c r="I139">
        <v>4.4169611307420503E-2</v>
      </c>
      <c r="J139">
        <v>0</v>
      </c>
      <c r="K139">
        <v>0</v>
      </c>
      <c r="L139">
        <v>8.8339222614840993E-2</v>
      </c>
    </row>
    <row r="140" spans="1:12">
      <c r="A140" s="1">
        <v>138</v>
      </c>
      <c r="B140" t="s">
        <v>149</v>
      </c>
      <c r="C140" t="s">
        <v>294</v>
      </c>
      <c r="D140">
        <v>2139.5500000000002</v>
      </c>
      <c r="E140">
        <v>80</v>
      </c>
      <c r="F140">
        <v>12</v>
      </c>
      <c r="G140">
        <v>8</v>
      </c>
      <c r="H140">
        <v>15</v>
      </c>
      <c r="I140">
        <v>3.7391040171998777E-2</v>
      </c>
      <c r="J140">
        <v>5.6086560257998172E-3</v>
      </c>
      <c r="K140">
        <v>3.7391040171998778E-3</v>
      </c>
      <c r="L140">
        <v>7.0108200322497724E-3</v>
      </c>
    </row>
    <row r="141" spans="1:12">
      <c r="A141" s="1">
        <v>139</v>
      </c>
      <c r="B141" t="s">
        <v>150</v>
      </c>
      <c r="C141" t="s">
        <v>295</v>
      </c>
      <c r="D141">
        <v>847.62</v>
      </c>
      <c r="E141">
        <v>17</v>
      </c>
      <c r="F141">
        <v>10</v>
      </c>
      <c r="G141">
        <v>19</v>
      </c>
      <c r="H141">
        <v>12</v>
      </c>
      <c r="I141">
        <v>2.0056157240272768E-2</v>
      </c>
      <c r="J141">
        <v>1.179773955310163E-2</v>
      </c>
      <c r="K141">
        <v>2.2415705150893091E-2</v>
      </c>
      <c r="L141">
        <v>1.4157287463721951E-2</v>
      </c>
    </row>
    <row r="142" spans="1:12">
      <c r="A142" s="1">
        <v>140</v>
      </c>
      <c r="B142" t="s">
        <v>151</v>
      </c>
      <c r="C142" t="s">
        <v>296</v>
      </c>
      <c r="D142">
        <v>7169.19</v>
      </c>
      <c r="E142">
        <v>234</v>
      </c>
      <c r="F142">
        <v>120</v>
      </c>
      <c r="G142">
        <v>15</v>
      </c>
      <c r="H142">
        <v>30</v>
      </c>
      <c r="I142">
        <v>3.2639670590401418E-2</v>
      </c>
      <c r="J142">
        <v>1.6738292610462269E-2</v>
      </c>
      <c r="K142">
        <v>2.0922865763077841E-3</v>
      </c>
      <c r="L142">
        <v>4.1845731526155673E-3</v>
      </c>
    </row>
    <row r="143" spans="1:12">
      <c r="A143" s="1">
        <v>141</v>
      </c>
      <c r="B143" t="s">
        <v>152</v>
      </c>
      <c r="C143" t="s">
        <v>297</v>
      </c>
      <c r="D143">
        <v>9321.7000000000007</v>
      </c>
      <c r="E143">
        <v>335</v>
      </c>
      <c r="F143">
        <v>116</v>
      </c>
      <c r="G143">
        <v>62</v>
      </c>
      <c r="H143">
        <v>79</v>
      </c>
      <c r="I143">
        <v>3.5937650857676168E-2</v>
      </c>
      <c r="J143">
        <v>1.244408208803115E-2</v>
      </c>
      <c r="K143">
        <v>6.6511473229132019E-3</v>
      </c>
      <c r="L143">
        <v>8.4748490082281122E-3</v>
      </c>
    </row>
    <row r="144" spans="1:12">
      <c r="A144" s="1">
        <v>142</v>
      </c>
      <c r="B144" t="s">
        <v>153</v>
      </c>
      <c r="C144" t="s">
        <v>298</v>
      </c>
      <c r="D144">
        <v>1728.91</v>
      </c>
      <c r="E144">
        <v>34</v>
      </c>
      <c r="F144">
        <v>4</v>
      </c>
      <c r="G144">
        <v>85</v>
      </c>
      <c r="H144">
        <v>91</v>
      </c>
      <c r="I144">
        <v>1.9665569636360479E-2</v>
      </c>
      <c r="J144">
        <v>2.313596427807115E-3</v>
      </c>
      <c r="K144">
        <v>4.9163924090901201E-2</v>
      </c>
      <c r="L144">
        <v>5.2634318732611873E-2</v>
      </c>
    </row>
    <row r="145" spans="1:12">
      <c r="A145" s="1">
        <v>143</v>
      </c>
      <c r="B145" t="s">
        <v>154</v>
      </c>
      <c r="C145" t="s">
        <v>299</v>
      </c>
      <c r="D145">
        <v>4886.1899999999996</v>
      </c>
      <c r="E145">
        <v>351</v>
      </c>
      <c r="F145">
        <v>36</v>
      </c>
      <c r="G145">
        <v>34</v>
      </c>
      <c r="H145">
        <v>52</v>
      </c>
      <c r="I145">
        <v>7.1835110791843959E-2</v>
      </c>
      <c r="J145">
        <v>7.3677036709583546E-3</v>
      </c>
      <c r="K145">
        <v>6.958386800349557E-3</v>
      </c>
      <c r="L145">
        <v>1.064223863582874E-2</v>
      </c>
    </row>
    <row r="146" spans="1:12">
      <c r="A146" s="1">
        <v>144</v>
      </c>
      <c r="B146" t="s">
        <v>155</v>
      </c>
      <c r="C146" t="s">
        <v>300</v>
      </c>
      <c r="D146">
        <v>1538.17</v>
      </c>
      <c r="E146">
        <v>36</v>
      </c>
      <c r="F146">
        <v>116</v>
      </c>
      <c r="G146">
        <v>68</v>
      </c>
      <c r="H146">
        <v>0</v>
      </c>
      <c r="I146">
        <v>2.3404435140459111E-2</v>
      </c>
      <c r="J146">
        <v>7.5414291008146034E-2</v>
      </c>
      <c r="K146">
        <v>4.4208377487533888E-2</v>
      </c>
      <c r="L146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7719-F75B-4889-B76A-CCB3E905C14F}">
  <dimension ref="A1:L147"/>
  <sheetViews>
    <sheetView tabSelected="1" topLeftCell="A37" workbookViewId="0">
      <selection activeCell="P74" sqref="P74"/>
    </sheetView>
  </sheetViews>
  <sheetFormatPr defaultRowHeight="14.5"/>
  <cols>
    <col min="3" max="3" width="24" customWidth="1"/>
  </cols>
  <sheetData>
    <row r="1" spans="1:12">
      <c r="E1">
        <f>MEDIAN(E3:E147)</f>
        <v>22</v>
      </c>
      <c r="F1">
        <f t="shared" ref="F1:L1" si="0">MEDIAN(F3:F147)</f>
        <v>10</v>
      </c>
      <c r="G1">
        <f t="shared" si="0"/>
        <v>16</v>
      </c>
      <c r="H1">
        <f t="shared" si="0"/>
        <v>30</v>
      </c>
      <c r="I1">
        <f t="shared" si="0"/>
        <v>6.0663155340498721E-3</v>
      </c>
      <c r="J1">
        <f t="shared" si="0"/>
        <v>3.4341570627342451E-3</v>
      </c>
      <c r="K1">
        <f t="shared" si="0"/>
        <v>4.471200105878018E-3</v>
      </c>
      <c r="L1">
        <f t="shared" si="0"/>
        <v>9.4719986274537839E-3</v>
      </c>
    </row>
    <row r="2" spans="1:1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>
      <c r="A3" s="1">
        <v>144</v>
      </c>
      <c r="B3" t="s">
        <v>155</v>
      </c>
      <c r="C3" t="s">
        <v>300</v>
      </c>
      <c r="D3">
        <v>1538.17</v>
      </c>
      <c r="E3">
        <v>36</v>
      </c>
      <c r="F3">
        <v>116</v>
      </c>
      <c r="G3">
        <v>68</v>
      </c>
      <c r="H3">
        <v>0</v>
      </c>
      <c r="I3">
        <v>2.3404435140459111E-2</v>
      </c>
      <c r="J3">
        <v>7.5414291008146034E-2</v>
      </c>
      <c r="K3">
        <v>4.4208377487533888E-2</v>
      </c>
      <c r="L3">
        <v>0</v>
      </c>
    </row>
    <row r="4" spans="1:12">
      <c r="A4" s="1">
        <v>133</v>
      </c>
      <c r="B4" t="s">
        <v>144</v>
      </c>
      <c r="C4" t="s">
        <v>289</v>
      </c>
      <c r="D4">
        <v>44.36</v>
      </c>
      <c r="E4">
        <v>2</v>
      </c>
      <c r="F4">
        <v>2</v>
      </c>
      <c r="G4">
        <v>0</v>
      </c>
      <c r="H4">
        <v>0</v>
      </c>
      <c r="I4">
        <v>4.5085662759242563E-2</v>
      </c>
      <c r="J4">
        <v>4.5085662759242563E-2</v>
      </c>
      <c r="K4">
        <v>0</v>
      </c>
      <c r="L4">
        <v>0</v>
      </c>
    </row>
    <row r="5" spans="1:12">
      <c r="A5" s="1">
        <v>70</v>
      </c>
      <c r="B5" t="s">
        <v>81</v>
      </c>
      <c r="C5" t="s">
        <v>226</v>
      </c>
      <c r="D5">
        <v>1701.12</v>
      </c>
      <c r="E5">
        <v>27</v>
      </c>
      <c r="F5">
        <v>40</v>
      </c>
      <c r="G5">
        <v>28</v>
      </c>
      <c r="H5">
        <v>19</v>
      </c>
      <c r="I5">
        <v>1.587189616252822E-2</v>
      </c>
      <c r="J5">
        <v>2.351392024078254E-2</v>
      </c>
      <c r="K5">
        <v>1.6459744168547778E-2</v>
      </c>
      <c r="L5">
        <v>1.116911211437171E-2</v>
      </c>
    </row>
    <row r="6" spans="1:12">
      <c r="A6" s="1">
        <v>117</v>
      </c>
      <c r="B6" t="s">
        <v>128</v>
      </c>
      <c r="C6" t="s">
        <v>273</v>
      </c>
      <c r="D6">
        <v>1416.2</v>
      </c>
      <c r="E6">
        <v>47</v>
      </c>
      <c r="F6">
        <v>32</v>
      </c>
      <c r="G6">
        <v>24</v>
      </c>
      <c r="H6">
        <v>51</v>
      </c>
      <c r="I6">
        <v>3.3187402909193607E-2</v>
      </c>
      <c r="J6">
        <v>2.2595678576472249E-2</v>
      </c>
      <c r="K6">
        <v>1.694675893235419E-2</v>
      </c>
      <c r="L6">
        <v>3.6011862731252647E-2</v>
      </c>
    </row>
    <row r="7" spans="1:12">
      <c r="A7" s="1">
        <v>114</v>
      </c>
      <c r="B7" t="s">
        <v>125</v>
      </c>
      <c r="C7" t="s">
        <v>270</v>
      </c>
      <c r="D7">
        <v>35325.15</v>
      </c>
      <c r="E7">
        <v>178</v>
      </c>
      <c r="F7">
        <v>770</v>
      </c>
      <c r="G7">
        <v>822</v>
      </c>
      <c r="H7">
        <v>0</v>
      </c>
      <c r="I7">
        <v>5.0389028779778706E-3</v>
      </c>
      <c r="J7">
        <v>2.17975012137245E-2</v>
      </c>
      <c r="K7">
        <v>2.3269540256729272E-2</v>
      </c>
      <c r="L7">
        <v>0</v>
      </c>
    </row>
    <row r="8" spans="1:12">
      <c r="A8" s="1">
        <v>107</v>
      </c>
      <c r="B8" t="s">
        <v>118</v>
      </c>
      <c r="C8" t="s">
        <v>263</v>
      </c>
      <c r="D8">
        <v>1071.31</v>
      </c>
      <c r="E8">
        <v>22</v>
      </c>
      <c r="F8">
        <v>20</v>
      </c>
      <c r="G8">
        <v>5</v>
      </c>
      <c r="H8">
        <v>17</v>
      </c>
      <c r="I8">
        <v>2.0535605940390739E-2</v>
      </c>
      <c r="J8">
        <v>1.8668732673082489E-2</v>
      </c>
      <c r="K8">
        <v>4.6671831682706224E-3</v>
      </c>
      <c r="L8">
        <v>1.5868422772120111E-2</v>
      </c>
    </row>
    <row r="9" spans="1:12">
      <c r="A9" s="1">
        <v>140</v>
      </c>
      <c r="B9" t="s">
        <v>151</v>
      </c>
      <c r="C9" t="s">
        <v>296</v>
      </c>
      <c r="D9">
        <v>7169.19</v>
      </c>
      <c r="E9">
        <v>234</v>
      </c>
      <c r="F9">
        <v>120</v>
      </c>
      <c r="G9">
        <v>15</v>
      </c>
      <c r="H9">
        <v>30</v>
      </c>
      <c r="I9">
        <v>3.2639670590401418E-2</v>
      </c>
      <c r="J9">
        <v>1.6738292610462269E-2</v>
      </c>
      <c r="K9">
        <v>2.0922865763077841E-3</v>
      </c>
      <c r="L9">
        <v>4.1845731526155673E-3</v>
      </c>
    </row>
    <row r="10" spans="1:12">
      <c r="A10" s="1">
        <v>131</v>
      </c>
      <c r="B10" t="s">
        <v>142</v>
      </c>
      <c r="C10" t="s">
        <v>287</v>
      </c>
      <c r="D10">
        <v>5985.43</v>
      </c>
      <c r="E10">
        <v>134</v>
      </c>
      <c r="F10">
        <v>92</v>
      </c>
      <c r="G10">
        <v>31</v>
      </c>
      <c r="H10">
        <v>89</v>
      </c>
      <c r="I10">
        <v>2.238769812695161E-2</v>
      </c>
      <c r="J10">
        <v>1.5370658415519021E-2</v>
      </c>
      <c r="K10">
        <v>5.1792435965335821E-3</v>
      </c>
      <c r="L10">
        <v>1.4869441293273829E-2</v>
      </c>
    </row>
    <row r="11" spans="1:12">
      <c r="A11" s="1">
        <v>93</v>
      </c>
      <c r="B11" t="s">
        <v>104</v>
      </c>
      <c r="C11" t="s">
        <v>249</v>
      </c>
      <c r="D11">
        <v>4821.9799999999996</v>
      </c>
      <c r="E11">
        <v>21</v>
      </c>
      <c r="F11">
        <v>74</v>
      </c>
      <c r="G11">
        <v>14</v>
      </c>
      <c r="H11">
        <v>0</v>
      </c>
      <c r="I11">
        <v>4.3550574660201832E-3</v>
      </c>
      <c r="J11">
        <v>1.534639297549969E-2</v>
      </c>
      <c r="K11">
        <v>2.9033716440134551E-3</v>
      </c>
      <c r="L11">
        <v>0</v>
      </c>
    </row>
    <row r="12" spans="1:12">
      <c r="A12" s="1">
        <v>135</v>
      </c>
      <c r="B12" t="s">
        <v>146</v>
      </c>
      <c r="C12" t="s">
        <v>291</v>
      </c>
      <c r="D12">
        <v>16007.3</v>
      </c>
      <c r="E12">
        <v>373</v>
      </c>
      <c r="F12">
        <v>214</v>
      </c>
      <c r="G12">
        <v>73</v>
      </c>
      <c r="H12">
        <v>239</v>
      </c>
      <c r="I12">
        <v>2.330186852248662E-2</v>
      </c>
      <c r="J12">
        <v>1.336890043917463E-2</v>
      </c>
      <c r="K12">
        <v>4.5604193086904096E-3</v>
      </c>
      <c r="L12">
        <v>1.4930687873657641E-2</v>
      </c>
    </row>
    <row r="13" spans="1:12">
      <c r="A13" s="1">
        <v>141</v>
      </c>
      <c r="B13" t="s">
        <v>152</v>
      </c>
      <c r="C13" t="s">
        <v>297</v>
      </c>
      <c r="D13">
        <v>9321.7000000000007</v>
      </c>
      <c r="E13">
        <v>335</v>
      </c>
      <c r="F13">
        <v>116</v>
      </c>
      <c r="G13">
        <v>62</v>
      </c>
      <c r="H13">
        <v>79</v>
      </c>
      <c r="I13">
        <v>3.5937650857676168E-2</v>
      </c>
      <c r="J13">
        <v>1.244408208803115E-2</v>
      </c>
      <c r="K13">
        <v>6.6511473229132019E-3</v>
      </c>
      <c r="L13">
        <v>8.4748490082281122E-3</v>
      </c>
    </row>
    <row r="14" spans="1:12">
      <c r="A14" s="1">
        <v>126</v>
      </c>
      <c r="B14" t="s">
        <v>137</v>
      </c>
      <c r="C14" t="s">
        <v>282</v>
      </c>
      <c r="D14">
        <v>1129.95</v>
      </c>
      <c r="E14">
        <v>19</v>
      </c>
      <c r="F14">
        <v>14</v>
      </c>
      <c r="G14">
        <v>7</v>
      </c>
      <c r="H14">
        <v>10</v>
      </c>
      <c r="I14">
        <v>1.6814903314305941E-2</v>
      </c>
      <c r="J14">
        <v>1.2389928757909639E-2</v>
      </c>
      <c r="K14">
        <v>6.1949643789548214E-3</v>
      </c>
      <c r="L14">
        <v>8.849949112792601E-3</v>
      </c>
    </row>
    <row r="15" spans="1:12">
      <c r="A15" s="1">
        <v>130</v>
      </c>
      <c r="B15" t="s">
        <v>141</v>
      </c>
      <c r="C15" t="s">
        <v>286</v>
      </c>
      <c r="D15">
        <v>5004.7299999999996</v>
      </c>
      <c r="E15">
        <v>106</v>
      </c>
      <c r="F15">
        <v>60</v>
      </c>
      <c r="G15">
        <v>27</v>
      </c>
      <c r="H15">
        <v>63</v>
      </c>
      <c r="I15">
        <v>2.117996375428844E-2</v>
      </c>
      <c r="J15">
        <v>1.198865872884252E-2</v>
      </c>
      <c r="K15">
        <v>5.3948964279791319E-3</v>
      </c>
      <c r="L15">
        <v>1.2588091665284641E-2</v>
      </c>
    </row>
    <row r="16" spans="1:12">
      <c r="A16" s="1">
        <v>127</v>
      </c>
      <c r="B16" t="s">
        <v>138</v>
      </c>
      <c r="C16" t="s">
        <v>283</v>
      </c>
      <c r="D16">
        <v>6280.3</v>
      </c>
      <c r="E16">
        <v>83</v>
      </c>
      <c r="F16">
        <v>75</v>
      </c>
      <c r="G16">
        <v>52</v>
      </c>
      <c r="H16">
        <v>122</v>
      </c>
      <c r="I16">
        <v>1.321592917535786E-2</v>
      </c>
      <c r="J16">
        <v>1.194210467652819E-2</v>
      </c>
      <c r="K16">
        <v>8.2798592423928789E-3</v>
      </c>
      <c r="L16">
        <v>1.9425823607152521E-2</v>
      </c>
    </row>
    <row r="17" spans="1:12">
      <c r="A17" s="1">
        <v>139</v>
      </c>
      <c r="B17" t="s">
        <v>150</v>
      </c>
      <c r="C17" t="s">
        <v>295</v>
      </c>
      <c r="D17">
        <v>847.62</v>
      </c>
      <c r="E17">
        <v>17</v>
      </c>
      <c r="F17">
        <v>10</v>
      </c>
      <c r="G17">
        <v>19</v>
      </c>
      <c r="H17">
        <v>12</v>
      </c>
      <c r="I17">
        <v>2.0056157240272768E-2</v>
      </c>
      <c r="J17">
        <v>1.179773955310163E-2</v>
      </c>
      <c r="K17">
        <v>2.2415705150893091E-2</v>
      </c>
      <c r="L17">
        <v>1.4157287463721951E-2</v>
      </c>
    </row>
    <row r="18" spans="1:12">
      <c r="A18" s="1">
        <v>102</v>
      </c>
      <c r="B18" t="s">
        <v>113</v>
      </c>
      <c r="C18" t="s">
        <v>258</v>
      </c>
      <c r="D18">
        <v>2840.26</v>
      </c>
      <c r="E18">
        <v>63</v>
      </c>
      <c r="F18">
        <v>33</v>
      </c>
      <c r="G18">
        <v>26</v>
      </c>
      <c r="H18">
        <v>50</v>
      </c>
      <c r="I18">
        <v>2.2181067930400741E-2</v>
      </c>
      <c r="J18">
        <v>1.1618654630209909E-2</v>
      </c>
      <c r="K18">
        <v>9.1540915268320498E-3</v>
      </c>
      <c r="L18">
        <v>1.7604022166984711E-2</v>
      </c>
    </row>
    <row r="19" spans="1:12">
      <c r="A19" s="1">
        <v>136</v>
      </c>
      <c r="B19" t="s">
        <v>147</v>
      </c>
      <c r="C19" t="s">
        <v>292</v>
      </c>
      <c r="D19">
        <v>20144.52</v>
      </c>
      <c r="E19">
        <v>528</v>
      </c>
      <c r="F19">
        <v>202</v>
      </c>
      <c r="G19">
        <v>187</v>
      </c>
      <c r="H19">
        <v>348</v>
      </c>
      <c r="I19">
        <v>2.6210602188585279E-2</v>
      </c>
      <c r="J19">
        <v>1.002754098881482E-2</v>
      </c>
      <c r="K19">
        <v>9.2829216084572876E-3</v>
      </c>
      <c r="L19">
        <v>1.7275169624294841E-2</v>
      </c>
    </row>
    <row r="20" spans="1:12">
      <c r="A20" s="1">
        <v>66</v>
      </c>
      <c r="B20" t="s">
        <v>77</v>
      </c>
      <c r="C20" t="s">
        <v>222</v>
      </c>
      <c r="D20">
        <v>6769.99</v>
      </c>
      <c r="E20">
        <v>48</v>
      </c>
      <c r="F20">
        <v>64</v>
      </c>
      <c r="G20">
        <v>18</v>
      </c>
      <c r="H20">
        <v>0</v>
      </c>
      <c r="I20">
        <v>7.0901138701829694E-3</v>
      </c>
      <c r="J20">
        <v>9.4534851602439598E-3</v>
      </c>
      <c r="K20">
        <v>2.658792701318614E-3</v>
      </c>
      <c r="L20">
        <v>0</v>
      </c>
    </row>
    <row r="21" spans="1:12">
      <c r="A21" s="1">
        <v>124</v>
      </c>
      <c r="B21" t="s">
        <v>135</v>
      </c>
      <c r="C21" t="s">
        <v>280</v>
      </c>
      <c r="D21">
        <v>4060.56</v>
      </c>
      <c r="E21">
        <v>72</v>
      </c>
      <c r="F21">
        <v>38</v>
      </c>
      <c r="G21">
        <v>30</v>
      </c>
      <c r="H21">
        <v>62</v>
      </c>
      <c r="I21">
        <v>1.7731544417518761E-2</v>
      </c>
      <c r="J21">
        <v>9.3583151092460157E-3</v>
      </c>
      <c r="K21">
        <v>7.3881435072994861E-3</v>
      </c>
      <c r="L21">
        <v>1.52688299150856E-2</v>
      </c>
    </row>
    <row r="22" spans="1:12">
      <c r="A22" s="1">
        <v>108</v>
      </c>
      <c r="B22" t="s">
        <v>119</v>
      </c>
      <c r="C22" t="s">
        <v>264</v>
      </c>
      <c r="D22">
        <v>5849.3</v>
      </c>
      <c r="E22">
        <v>21</v>
      </c>
      <c r="F22">
        <v>54</v>
      </c>
      <c r="G22">
        <v>98</v>
      </c>
      <c r="H22">
        <v>91</v>
      </c>
      <c r="I22">
        <v>3.5901731831159281E-3</v>
      </c>
      <c r="J22">
        <v>9.231873899440959E-3</v>
      </c>
      <c r="K22">
        <v>1.6754141521207661E-2</v>
      </c>
      <c r="L22">
        <v>1.555741712683569E-2</v>
      </c>
    </row>
    <row r="23" spans="1:12">
      <c r="A23" s="1">
        <v>132</v>
      </c>
      <c r="B23" t="s">
        <v>143</v>
      </c>
      <c r="C23" t="s">
        <v>288</v>
      </c>
      <c r="D23">
        <v>890.58</v>
      </c>
      <c r="E23">
        <v>16</v>
      </c>
      <c r="F23">
        <v>8</v>
      </c>
      <c r="G23">
        <v>15</v>
      </c>
      <c r="H23">
        <v>16</v>
      </c>
      <c r="I23">
        <v>1.796582002739788E-2</v>
      </c>
      <c r="J23">
        <v>8.982910013698938E-3</v>
      </c>
      <c r="K23">
        <v>1.6842956275685508E-2</v>
      </c>
      <c r="L23">
        <v>1.796582002739788E-2</v>
      </c>
    </row>
    <row r="24" spans="1:12">
      <c r="A24" s="1">
        <v>50</v>
      </c>
      <c r="B24" t="s">
        <v>61</v>
      </c>
      <c r="C24" t="s">
        <v>206</v>
      </c>
      <c r="D24">
        <v>7113.21</v>
      </c>
      <c r="E24">
        <v>67</v>
      </c>
      <c r="F24">
        <v>58</v>
      </c>
      <c r="G24">
        <v>0</v>
      </c>
      <c r="H24">
        <v>0</v>
      </c>
      <c r="I24">
        <v>9.4190948952723175E-3</v>
      </c>
      <c r="J24">
        <v>8.1538433421760367E-3</v>
      </c>
      <c r="K24">
        <v>0</v>
      </c>
      <c r="L24">
        <v>0</v>
      </c>
    </row>
    <row r="25" spans="1:12">
      <c r="A25" s="1">
        <v>46</v>
      </c>
      <c r="B25" t="s">
        <v>57</v>
      </c>
      <c r="C25" t="s">
        <v>202</v>
      </c>
      <c r="D25">
        <v>5297.85</v>
      </c>
      <c r="E25">
        <v>17</v>
      </c>
      <c r="F25">
        <v>43</v>
      </c>
      <c r="G25">
        <v>12</v>
      </c>
      <c r="H25">
        <v>0</v>
      </c>
      <c r="I25">
        <v>3.2088488726558879E-3</v>
      </c>
      <c r="J25">
        <v>8.1165000896590116E-3</v>
      </c>
      <c r="K25">
        <v>2.26506979246298E-3</v>
      </c>
      <c r="L25">
        <v>0</v>
      </c>
    </row>
    <row r="26" spans="1:12">
      <c r="A26" s="1">
        <v>52</v>
      </c>
      <c r="B26" t="s">
        <v>63</v>
      </c>
      <c r="C26" t="s">
        <v>208</v>
      </c>
      <c r="D26">
        <v>4090.12</v>
      </c>
      <c r="E26">
        <v>15</v>
      </c>
      <c r="F26">
        <v>32</v>
      </c>
      <c r="G26">
        <v>10</v>
      </c>
      <c r="H26">
        <v>0</v>
      </c>
      <c r="I26">
        <v>3.667374062374698E-3</v>
      </c>
      <c r="J26">
        <v>7.8237313330660231E-3</v>
      </c>
      <c r="K26">
        <v>2.444916041583132E-3</v>
      </c>
      <c r="L26">
        <v>0</v>
      </c>
    </row>
    <row r="27" spans="1:12">
      <c r="A27" s="1">
        <v>112</v>
      </c>
      <c r="B27" t="s">
        <v>123</v>
      </c>
      <c r="C27" t="s">
        <v>268</v>
      </c>
      <c r="D27">
        <v>3584.56</v>
      </c>
      <c r="E27">
        <v>48</v>
      </c>
      <c r="F27">
        <v>28</v>
      </c>
      <c r="G27">
        <v>16</v>
      </c>
      <c r="H27">
        <v>59</v>
      </c>
      <c r="I27">
        <v>1.339076483585154E-2</v>
      </c>
      <c r="J27">
        <v>7.8112794875800657E-3</v>
      </c>
      <c r="K27">
        <v>4.4635882786171806E-3</v>
      </c>
      <c r="L27">
        <v>1.645948177740085E-2</v>
      </c>
    </row>
    <row r="28" spans="1:12">
      <c r="A28" s="1">
        <v>111</v>
      </c>
      <c r="B28" t="s">
        <v>122</v>
      </c>
      <c r="C28" t="s">
        <v>267</v>
      </c>
      <c r="D28">
        <v>3989.33</v>
      </c>
      <c r="E28">
        <v>57</v>
      </c>
      <c r="F28">
        <v>31</v>
      </c>
      <c r="G28">
        <v>20</v>
      </c>
      <c r="H28">
        <v>50</v>
      </c>
      <c r="I28">
        <v>1.4288113542875619E-2</v>
      </c>
      <c r="J28">
        <v>7.7707284180551627E-3</v>
      </c>
      <c r="K28">
        <v>5.0133731729388141E-3</v>
      </c>
      <c r="L28">
        <v>1.253343293234704E-2</v>
      </c>
    </row>
    <row r="29" spans="1:12">
      <c r="A29" s="1">
        <v>99</v>
      </c>
      <c r="B29" t="s">
        <v>110</v>
      </c>
      <c r="C29" t="s">
        <v>255</v>
      </c>
      <c r="D29">
        <v>6459.61</v>
      </c>
      <c r="E29">
        <v>122</v>
      </c>
      <c r="F29">
        <v>50</v>
      </c>
      <c r="G29">
        <v>30</v>
      </c>
      <c r="H29">
        <v>49</v>
      </c>
      <c r="I29">
        <v>1.888658912844584E-2</v>
      </c>
      <c r="J29">
        <v>7.7404053805105889E-3</v>
      </c>
      <c r="K29">
        <v>4.6442432283063531E-3</v>
      </c>
      <c r="L29">
        <v>7.5855972729003771E-3</v>
      </c>
    </row>
    <row r="30" spans="1:12">
      <c r="A30" s="1">
        <v>101</v>
      </c>
      <c r="B30" t="s">
        <v>112</v>
      </c>
      <c r="C30" t="s">
        <v>257</v>
      </c>
      <c r="D30">
        <v>19245.419999999998</v>
      </c>
      <c r="E30">
        <v>241</v>
      </c>
      <c r="F30">
        <v>144</v>
      </c>
      <c r="G30">
        <v>46</v>
      </c>
      <c r="H30">
        <v>115</v>
      </c>
      <c r="I30">
        <v>1.2522459889158051E-2</v>
      </c>
      <c r="J30">
        <v>7.4822996848081264E-3</v>
      </c>
      <c r="K30">
        <v>2.390179065980374E-3</v>
      </c>
      <c r="L30">
        <v>5.9754476649509346E-3</v>
      </c>
    </row>
    <row r="31" spans="1:12">
      <c r="A31" s="1">
        <v>143</v>
      </c>
      <c r="B31" t="s">
        <v>154</v>
      </c>
      <c r="C31" t="s">
        <v>299</v>
      </c>
      <c r="D31">
        <v>4886.1899999999996</v>
      </c>
      <c r="E31">
        <v>351</v>
      </c>
      <c r="F31">
        <v>36</v>
      </c>
      <c r="G31">
        <v>34</v>
      </c>
      <c r="H31">
        <v>52</v>
      </c>
      <c r="I31">
        <v>7.1835110791843959E-2</v>
      </c>
      <c r="J31">
        <v>7.3677036709583546E-3</v>
      </c>
      <c r="K31">
        <v>6.958386800349557E-3</v>
      </c>
      <c r="L31">
        <v>1.064223863582874E-2</v>
      </c>
    </row>
    <row r="32" spans="1:12">
      <c r="A32" s="1">
        <v>116</v>
      </c>
      <c r="B32" t="s">
        <v>127</v>
      </c>
      <c r="C32" t="s">
        <v>272</v>
      </c>
      <c r="D32">
        <v>3018.73</v>
      </c>
      <c r="E32">
        <v>42</v>
      </c>
      <c r="F32">
        <v>22</v>
      </c>
      <c r="G32">
        <v>18</v>
      </c>
      <c r="H32">
        <v>29</v>
      </c>
      <c r="I32">
        <v>1.39131356563853E-2</v>
      </c>
      <c r="J32">
        <v>7.2878329628684908E-3</v>
      </c>
      <c r="K32">
        <v>5.9627724241651291E-3</v>
      </c>
      <c r="L32">
        <v>9.6066889055993736E-3</v>
      </c>
    </row>
    <row r="33" spans="1:12">
      <c r="A33" s="1">
        <v>58</v>
      </c>
      <c r="B33" t="s">
        <v>69</v>
      </c>
      <c r="C33" t="s">
        <v>214</v>
      </c>
      <c r="D33">
        <v>6110.91</v>
      </c>
      <c r="E33">
        <v>26</v>
      </c>
      <c r="F33">
        <v>43</v>
      </c>
      <c r="G33">
        <v>12</v>
      </c>
      <c r="H33">
        <v>0</v>
      </c>
      <c r="I33">
        <v>4.254685472376455E-3</v>
      </c>
      <c r="J33">
        <v>7.0365952043149058E-3</v>
      </c>
      <c r="K33">
        <v>1.9637009872506711E-3</v>
      </c>
      <c r="L33">
        <v>0</v>
      </c>
    </row>
    <row r="34" spans="1:12">
      <c r="A34" s="1">
        <v>89</v>
      </c>
      <c r="B34" t="s">
        <v>100</v>
      </c>
      <c r="C34" t="s">
        <v>245</v>
      </c>
      <c r="D34">
        <v>1431.92</v>
      </c>
      <c r="E34">
        <v>10</v>
      </c>
      <c r="F34">
        <v>10</v>
      </c>
      <c r="G34">
        <v>11</v>
      </c>
      <c r="H34">
        <v>28</v>
      </c>
      <c r="I34">
        <v>6.9836303704117536E-3</v>
      </c>
      <c r="J34">
        <v>6.9836303704117536E-3</v>
      </c>
      <c r="K34">
        <v>7.6819934074529297E-3</v>
      </c>
      <c r="L34">
        <v>1.9554165037152911E-2</v>
      </c>
    </row>
    <row r="35" spans="1:12">
      <c r="A35" s="1">
        <v>125</v>
      </c>
      <c r="B35" t="s">
        <v>136</v>
      </c>
      <c r="C35" t="s">
        <v>281</v>
      </c>
      <c r="D35">
        <v>4653.18</v>
      </c>
      <c r="E35">
        <v>68</v>
      </c>
      <c r="F35">
        <v>31</v>
      </c>
      <c r="G35">
        <v>47</v>
      </c>
      <c r="H35">
        <v>117</v>
      </c>
      <c r="I35">
        <v>1.461366205476685E-2</v>
      </c>
      <c r="J35">
        <v>6.6621106426142966E-3</v>
      </c>
      <c r="K35">
        <v>1.010061936138297E-2</v>
      </c>
      <c r="L35">
        <v>2.51440950059959E-2</v>
      </c>
    </row>
    <row r="36" spans="1:12">
      <c r="A36" s="1">
        <v>113</v>
      </c>
      <c r="B36" t="s">
        <v>124</v>
      </c>
      <c r="C36" t="s">
        <v>269</v>
      </c>
      <c r="D36">
        <v>1519.17</v>
      </c>
      <c r="E36">
        <v>20</v>
      </c>
      <c r="F36">
        <v>10</v>
      </c>
      <c r="G36">
        <v>7</v>
      </c>
      <c r="H36">
        <v>14</v>
      </c>
      <c r="I36">
        <v>1.3165083565367931E-2</v>
      </c>
      <c r="J36">
        <v>6.5825417826839653E-3</v>
      </c>
      <c r="K36">
        <v>4.6077792478787759E-3</v>
      </c>
      <c r="L36">
        <v>9.2155584957575518E-3</v>
      </c>
    </row>
    <row r="37" spans="1:12">
      <c r="A37" s="1">
        <v>129</v>
      </c>
      <c r="B37" t="s">
        <v>140</v>
      </c>
      <c r="C37" t="s">
        <v>285</v>
      </c>
      <c r="D37">
        <v>26292.17</v>
      </c>
      <c r="E37">
        <v>597</v>
      </c>
      <c r="F37">
        <v>165</v>
      </c>
      <c r="G37">
        <v>131</v>
      </c>
      <c r="H37">
        <v>226</v>
      </c>
      <c r="I37">
        <v>2.270637988420127E-2</v>
      </c>
      <c r="J37">
        <v>6.2756326313119079E-3</v>
      </c>
      <c r="K37">
        <v>4.9824719678900602E-3</v>
      </c>
      <c r="L37">
        <v>8.5957149980393412E-3</v>
      </c>
    </row>
    <row r="38" spans="1:12">
      <c r="A38" s="1">
        <v>61</v>
      </c>
      <c r="B38" t="s">
        <v>72</v>
      </c>
      <c r="C38" t="s">
        <v>217</v>
      </c>
      <c r="D38">
        <v>9594.51</v>
      </c>
      <c r="E38">
        <v>36</v>
      </c>
      <c r="F38">
        <v>59</v>
      </c>
      <c r="G38">
        <v>43</v>
      </c>
      <c r="H38">
        <v>0</v>
      </c>
      <c r="I38">
        <v>3.752145758355559E-3</v>
      </c>
      <c r="J38">
        <v>6.1493499928605014E-3</v>
      </c>
      <c r="K38">
        <v>4.4817296558135851E-3</v>
      </c>
      <c r="L38">
        <v>0</v>
      </c>
    </row>
    <row r="39" spans="1:12">
      <c r="A39" s="1">
        <v>54</v>
      </c>
      <c r="B39" t="s">
        <v>65</v>
      </c>
      <c r="C39" t="s">
        <v>210</v>
      </c>
      <c r="D39">
        <v>5091.24</v>
      </c>
      <c r="E39">
        <v>16</v>
      </c>
      <c r="F39">
        <v>31</v>
      </c>
      <c r="G39">
        <v>11</v>
      </c>
      <c r="H39">
        <v>0</v>
      </c>
      <c r="I39">
        <v>3.142652870420566E-3</v>
      </c>
      <c r="J39">
        <v>6.0888899364398459E-3</v>
      </c>
      <c r="K39">
        <v>2.1605738484141391E-3</v>
      </c>
      <c r="L39">
        <v>0</v>
      </c>
    </row>
    <row r="40" spans="1:12">
      <c r="A40" s="1">
        <v>128</v>
      </c>
      <c r="B40" t="s">
        <v>139</v>
      </c>
      <c r="C40" t="s">
        <v>284</v>
      </c>
      <c r="D40">
        <v>2629.69</v>
      </c>
      <c r="E40">
        <v>64</v>
      </c>
      <c r="F40">
        <v>16</v>
      </c>
      <c r="G40">
        <v>11</v>
      </c>
      <c r="H40">
        <v>34</v>
      </c>
      <c r="I40">
        <v>2.4337469435560841E-2</v>
      </c>
      <c r="J40">
        <v>6.0843673588902112E-3</v>
      </c>
      <c r="K40">
        <v>4.1830025592370203E-3</v>
      </c>
      <c r="L40">
        <v>1.2929280637641699E-2</v>
      </c>
    </row>
    <row r="41" spans="1:12">
      <c r="A41" s="1">
        <v>106</v>
      </c>
      <c r="B41" t="s">
        <v>117</v>
      </c>
      <c r="C41" t="s">
        <v>262</v>
      </c>
      <c r="D41">
        <v>6776.19</v>
      </c>
      <c r="E41">
        <v>84</v>
      </c>
      <c r="F41">
        <v>41</v>
      </c>
      <c r="G41">
        <v>30</v>
      </c>
      <c r="H41">
        <v>148</v>
      </c>
      <c r="I41">
        <v>1.2396346619560549E-2</v>
      </c>
      <c r="J41">
        <v>6.0505977547855062E-3</v>
      </c>
      <c r="K41">
        <v>4.4272666498430544E-3</v>
      </c>
      <c r="L41">
        <v>2.1841182139225729E-2</v>
      </c>
    </row>
    <row r="42" spans="1:12">
      <c r="A42" s="1">
        <v>75</v>
      </c>
      <c r="B42" t="s">
        <v>86</v>
      </c>
      <c r="C42" t="s">
        <v>231</v>
      </c>
      <c r="D42">
        <v>11641.14</v>
      </c>
      <c r="E42">
        <v>153</v>
      </c>
      <c r="F42">
        <v>68</v>
      </c>
      <c r="G42">
        <v>106</v>
      </c>
      <c r="H42">
        <v>57</v>
      </c>
      <c r="I42">
        <v>1.3143042691695139E-2</v>
      </c>
      <c r="J42">
        <v>5.8413523074200644E-3</v>
      </c>
      <c r="K42">
        <v>9.1056374203900992E-3</v>
      </c>
      <c r="L42">
        <v>4.896427669455054E-3</v>
      </c>
    </row>
    <row r="43" spans="1:12">
      <c r="A43" s="1">
        <v>122</v>
      </c>
      <c r="B43" t="s">
        <v>133</v>
      </c>
      <c r="C43" t="s">
        <v>278</v>
      </c>
      <c r="D43">
        <v>1381.32</v>
      </c>
      <c r="E43">
        <v>29</v>
      </c>
      <c r="F43">
        <v>8</v>
      </c>
      <c r="G43">
        <v>2</v>
      </c>
      <c r="H43">
        <v>15</v>
      </c>
      <c r="I43">
        <v>2.09944111429647E-2</v>
      </c>
      <c r="J43">
        <v>5.7915616946109518E-3</v>
      </c>
      <c r="K43">
        <v>1.447890423652738E-3</v>
      </c>
      <c r="L43">
        <v>1.0859178177395529E-2</v>
      </c>
    </row>
    <row r="44" spans="1:12">
      <c r="A44" s="1">
        <v>80</v>
      </c>
      <c r="B44" t="s">
        <v>91</v>
      </c>
      <c r="C44" t="s">
        <v>236</v>
      </c>
      <c r="D44">
        <v>6340.37</v>
      </c>
      <c r="E44">
        <v>46</v>
      </c>
      <c r="F44">
        <v>36</v>
      </c>
      <c r="G44">
        <v>8</v>
      </c>
      <c r="H44">
        <v>19</v>
      </c>
      <c r="I44">
        <v>7.2550971000115132E-3</v>
      </c>
      <c r="J44">
        <v>5.6779020782698796E-3</v>
      </c>
      <c r="K44">
        <v>1.261756017393307E-3</v>
      </c>
      <c r="L44">
        <v>2.9966705413091029E-3</v>
      </c>
    </row>
    <row r="45" spans="1:12">
      <c r="A45" s="1">
        <v>64</v>
      </c>
      <c r="B45" t="s">
        <v>75</v>
      </c>
      <c r="C45" t="s">
        <v>220</v>
      </c>
      <c r="D45">
        <v>13034.04</v>
      </c>
      <c r="E45">
        <v>53</v>
      </c>
      <c r="F45">
        <v>74</v>
      </c>
      <c r="G45">
        <v>19</v>
      </c>
      <c r="H45">
        <v>29</v>
      </c>
      <c r="I45">
        <v>4.0662756904229231E-3</v>
      </c>
      <c r="J45">
        <v>5.6774415300244576E-3</v>
      </c>
      <c r="K45">
        <v>1.4577214739251989E-3</v>
      </c>
      <c r="L45">
        <v>2.2249433023068818E-3</v>
      </c>
    </row>
    <row r="46" spans="1:12">
      <c r="A46" s="1">
        <v>104</v>
      </c>
      <c r="B46" t="s">
        <v>115</v>
      </c>
      <c r="C46" t="s">
        <v>260</v>
      </c>
      <c r="D46">
        <v>8512.6299999999992</v>
      </c>
      <c r="E46">
        <v>124</v>
      </c>
      <c r="F46">
        <v>48</v>
      </c>
      <c r="G46">
        <v>34</v>
      </c>
      <c r="H46">
        <v>70</v>
      </c>
      <c r="I46">
        <v>1.4566591053528701E-2</v>
      </c>
      <c r="J46">
        <v>5.6386804078175611E-3</v>
      </c>
      <c r="K46">
        <v>3.9940652888707734E-3</v>
      </c>
      <c r="L46">
        <v>8.2230755947339425E-3</v>
      </c>
    </row>
    <row r="47" spans="1:12">
      <c r="A47" s="1">
        <v>138</v>
      </c>
      <c r="B47" t="s">
        <v>149</v>
      </c>
      <c r="C47" t="s">
        <v>294</v>
      </c>
      <c r="D47">
        <v>2139.5500000000002</v>
      </c>
      <c r="E47">
        <v>80</v>
      </c>
      <c r="F47">
        <v>12</v>
      </c>
      <c r="G47">
        <v>8</v>
      </c>
      <c r="H47">
        <v>15</v>
      </c>
      <c r="I47">
        <v>3.7391040171998777E-2</v>
      </c>
      <c r="J47">
        <v>5.6086560257998172E-3</v>
      </c>
      <c r="K47">
        <v>3.7391040171998778E-3</v>
      </c>
      <c r="L47">
        <v>7.0108200322497724E-3</v>
      </c>
    </row>
    <row r="48" spans="1:12">
      <c r="A48" s="1">
        <v>76</v>
      </c>
      <c r="B48" t="s">
        <v>87</v>
      </c>
      <c r="C48" t="s">
        <v>232</v>
      </c>
      <c r="D48">
        <v>2693.46</v>
      </c>
      <c r="E48">
        <v>3</v>
      </c>
      <c r="F48">
        <v>15</v>
      </c>
      <c r="G48">
        <v>1</v>
      </c>
      <c r="H48">
        <v>17</v>
      </c>
      <c r="I48">
        <v>1.113809004031989E-3</v>
      </c>
      <c r="J48">
        <v>5.5690450201599431E-3</v>
      </c>
      <c r="K48">
        <v>3.7126966801066292E-4</v>
      </c>
      <c r="L48">
        <v>6.3115843561812688E-3</v>
      </c>
    </row>
    <row r="49" spans="1:12">
      <c r="A49" s="1">
        <v>92</v>
      </c>
      <c r="B49" t="s">
        <v>103</v>
      </c>
      <c r="C49" t="s">
        <v>248</v>
      </c>
      <c r="D49">
        <v>24629.66</v>
      </c>
      <c r="E49">
        <v>199</v>
      </c>
      <c r="F49">
        <v>135</v>
      </c>
      <c r="G49">
        <v>152</v>
      </c>
      <c r="H49">
        <v>287</v>
      </c>
      <c r="I49">
        <v>8.0796892851951671E-3</v>
      </c>
      <c r="J49">
        <v>5.4811962487504914E-3</v>
      </c>
      <c r="K49">
        <v>6.1714209615561077E-3</v>
      </c>
      <c r="L49">
        <v>1.1652617210306601E-2</v>
      </c>
    </row>
    <row r="50" spans="1:12">
      <c r="A50" s="1">
        <v>97</v>
      </c>
      <c r="B50" t="s">
        <v>108</v>
      </c>
      <c r="C50" t="s">
        <v>253</v>
      </c>
      <c r="D50">
        <v>5997.78</v>
      </c>
      <c r="E50">
        <v>48</v>
      </c>
      <c r="F50">
        <v>32</v>
      </c>
      <c r="G50">
        <v>31</v>
      </c>
      <c r="H50">
        <v>99</v>
      </c>
      <c r="I50">
        <v>8.0029610956053737E-3</v>
      </c>
      <c r="J50">
        <v>5.3353073970702491E-3</v>
      </c>
      <c r="K50">
        <v>5.1685790409118039E-3</v>
      </c>
      <c r="L50">
        <v>1.6506107259686081E-2</v>
      </c>
    </row>
    <row r="51" spans="1:12">
      <c r="A51" s="1">
        <v>63</v>
      </c>
      <c r="B51" t="s">
        <v>74</v>
      </c>
      <c r="C51" t="s">
        <v>219</v>
      </c>
      <c r="D51">
        <v>5363.13</v>
      </c>
      <c r="E51">
        <v>46</v>
      </c>
      <c r="F51">
        <v>28</v>
      </c>
      <c r="G51">
        <v>3</v>
      </c>
      <c r="H51">
        <v>0</v>
      </c>
      <c r="I51">
        <v>8.5770809210293248E-3</v>
      </c>
      <c r="J51">
        <v>5.2208318649743712E-3</v>
      </c>
      <c r="K51">
        <v>5.5937484267582546E-4</v>
      </c>
      <c r="L51">
        <v>0</v>
      </c>
    </row>
    <row r="52" spans="1:12">
      <c r="A52" s="1">
        <v>72</v>
      </c>
      <c r="B52" t="s">
        <v>83</v>
      </c>
      <c r="C52" t="s">
        <v>228</v>
      </c>
      <c r="D52">
        <v>10052.41</v>
      </c>
      <c r="E52">
        <v>43</v>
      </c>
      <c r="F52">
        <v>52</v>
      </c>
      <c r="G52">
        <v>62</v>
      </c>
      <c r="H52">
        <v>30</v>
      </c>
      <c r="I52">
        <v>4.2775811969468017E-3</v>
      </c>
      <c r="J52">
        <v>5.1728888893310164E-3</v>
      </c>
      <c r="K52">
        <v>6.1676752142023651E-3</v>
      </c>
      <c r="L52">
        <v>2.9843589746140482E-3</v>
      </c>
    </row>
    <row r="53" spans="1:12">
      <c r="A53" s="1">
        <v>119</v>
      </c>
      <c r="B53" t="s">
        <v>130</v>
      </c>
      <c r="C53" t="s">
        <v>275</v>
      </c>
      <c r="D53">
        <v>3685.94</v>
      </c>
      <c r="E53">
        <v>59</v>
      </c>
      <c r="F53">
        <v>19</v>
      </c>
      <c r="G53">
        <v>26</v>
      </c>
      <c r="H53">
        <v>59</v>
      </c>
      <c r="I53">
        <v>1.600677167832357E-2</v>
      </c>
      <c r="J53">
        <v>5.1547230828499647E-3</v>
      </c>
      <c r="K53">
        <v>7.0538315870578468E-3</v>
      </c>
      <c r="L53">
        <v>1.600677167832357E-2</v>
      </c>
    </row>
    <row r="54" spans="1:12">
      <c r="A54" s="1">
        <v>115</v>
      </c>
      <c r="B54" t="s">
        <v>126</v>
      </c>
      <c r="C54" t="s">
        <v>271</v>
      </c>
      <c r="D54">
        <v>4307.1099999999997</v>
      </c>
      <c r="E54">
        <v>58</v>
      </c>
      <c r="F54">
        <v>22</v>
      </c>
      <c r="G54">
        <v>17</v>
      </c>
      <c r="H54">
        <v>43</v>
      </c>
      <c r="I54">
        <v>1.346610604326335E-2</v>
      </c>
      <c r="J54">
        <v>5.1078333267550631E-3</v>
      </c>
      <c r="K54">
        <v>3.9469621161289129E-3</v>
      </c>
      <c r="L54">
        <v>9.9834924113848967E-3</v>
      </c>
    </row>
    <row r="55" spans="1:12">
      <c r="A55" s="1">
        <v>123</v>
      </c>
      <c r="B55" t="s">
        <v>134</v>
      </c>
      <c r="C55" t="s">
        <v>279</v>
      </c>
      <c r="D55">
        <v>1178.22</v>
      </c>
      <c r="E55">
        <v>22</v>
      </c>
      <c r="F55">
        <v>6</v>
      </c>
      <c r="G55">
        <v>2</v>
      </c>
      <c r="H55">
        <v>16</v>
      </c>
      <c r="I55">
        <v>1.867223438746584E-2</v>
      </c>
      <c r="J55">
        <v>5.0924275602179554E-3</v>
      </c>
      <c r="K55">
        <v>1.6974758534059849E-3</v>
      </c>
      <c r="L55">
        <v>1.3579806827247879E-2</v>
      </c>
    </row>
    <row r="56" spans="1:12">
      <c r="A56" s="1">
        <v>90</v>
      </c>
      <c r="B56" t="s">
        <v>101</v>
      </c>
      <c r="C56" t="s">
        <v>246</v>
      </c>
      <c r="D56">
        <v>3732.32</v>
      </c>
      <c r="E56">
        <v>28</v>
      </c>
      <c r="F56">
        <v>19</v>
      </c>
      <c r="G56">
        <v>17</v>
      </c>
      <c r="H56">
        <v>56</v>
      </c>
      <c r="I56">
        <v>7.5020362669867531E-3</v>
      </c>
      <c r="J56">
        <v>5.0906674668838676E-3</v>
      </c>
      <c r="K56">
        <v>4.5548077335276719E-3</v>
      </c>
      <c r="L56">
        <v>1.500407253397351E-2</v>
      </c>
    </row>
    <row r="57" spans="1:12">
      <c r="A57" s="1">
        <v>73</v>
      </c>
      <c r="B57" t="s">
        <v>84</v>
      </c>
      <c r="C57" t="s">
        <v>229</v>
      </c>
      <c r="D57">
        <v>3943.66</v>
      </c>
      <c r="E57">
        <v>28</v>
      </c>
      <c r="F57">
        <v>20</v>
      </c>
      <c r="G57">
        <v>11</v>
      </c>
      <c r="H57">
        <v>29</v>
      </c>
      <c r="I57">
        <v>7.1000035500017756E-3</v>
      </c>
      <c r="J57">
        <v>5.0714311071441264E-3</v>
      </c>
      <c r="K57">
        <v>2.7892871089292689E-3</v>
      </c>
      <c r="L57">
        <v>7.3535751053589813E-3</v>
      </c>
    </row>
    <row r="58" spans="1:12">
      <c r="A58" s="1">
        <v>81</v>
      </c>
      <c r="B58" t="s">
        <v>92</v>
      </c>
      <c r="C58" t="s">
        <v>237</v>
      </c>
      <c r="D58">
        <v>199.78</v>
      </c>
      <c r="E58">
        <v>2</v>
      </c>
      <c r="F58">
        <v>1</v>
      </c>
      <c r="G58">
        <v>0</v>
      </c>
      <c r="H58">
        <v>2</v>
      </c>
      <c r="I58">
        <v>1.001101211332466E-2</v>
      </c>
      <c r="J58">
        <v>5.0055060566623283E-3</v>
      </c>
      <c r="K58">
        <v>0</v>
      </c>
      <c r="L58">
        <v>1.001101211332466E-2</v>
      </c>
    </row>
    <row r="59" spans="1:12">
      <c r="A59" s="1">
        <v>24</v>
      </c>
      <c r="B59" t="s">
        <v>35</v>
      </c>
      <c r="C59" t="s">
        <v>180</v>
      </c>
      <c r="D59">
        <v>3771.32</v>
      </c>
      <c r="E59">
        <v>13</v>
      </c>
      <c r="F59">
        <v>18</v>
      </c>
      <c r="G59">
        <v>7</v>
      </c>
      <c r="H59">
        <v>21</v>
      </c>
      <c r="I59">
        <v>3.447068930772249E-3</v>
      </c>
      <c r="J59">
        <v>4.7728646733769609E-3</v>
      </c>
      <c r="K59">
        <v>1.856114039646596E-3</v>
      </c>
      <c r="L59">
        <v>5.5683421189397873E-3</v>
      </c>
    </row>
    <row r="60" spans="1:12">
      <c r="A60" s="1">
        <v>96</v>
      </c>
      <c r="B60" t="s">
        <v>107</v>
      </c>
      <c r="C60" t="s">
        <v>252</v>
      </c>
      <c r="D60">
        <v>2997.57</v>
      </c>
      <c r="E60">
        <v>44</v>
      </c>
      <c r="F60">
        <v>14</v>
      </c>
      <c r="G60">
        <v>9</v>
      </c>
      <c r="H60">
        <v>31</v>
      </c>
      <c r="I60">
        <v>1.4678556297267451E-2</v>
      </c>
      <c r="J60">
        <v>4.6704497309487348E-3</v>
      </c>
      <c r="K60">
        <v>3.0024319698956151E-3</v>
      </c>
      <c r="L60">
        <v>1.034171011852934E-2</v>
      </c>
    </row>
    <row r="61" spans="1:12">
      <c r="A61" s="1">
        <v>103</v>
      </c>
      <c r="B61" t="s">
        <v>114</v>
      </c>
      <c r="C61" t="s">
        <v>259</v>
      </c>
      <c r="D61">
        <v>11460.99</v>
      </c>
      <c r="E61">
        <v>146</v>
      </c>
      <c r="F61">
        <v>51</v>
      </c>
      <c r="G61">
        <v>57</v>
      </c>
      <c r="H61">
        <v>95</v>
      </c>
      <c r="I61">
        <v>1.273886461815253E-2</v>
      </c>
      <c r="J61">
        <v>4.4498773666149256E-3</v>
      </c>
      <c r="K61">
        <v>4.9733923509225654E-3</v>
      </c>
      <c r="L61">
        <v>8.2889872515376078E-3</v>
      </c>
    </row>
    <row r="62" spans="1:12">
      <c r="A62" s="1">
        <v>121</v>
      </c>
      <c r="B62" t="s">
        <v>132</v>
      </c>
      <c r="C62" t="s">
        <v>277</v>
      </c>
      <c r="D62">
        <v>4285.37</v>
      </c>
      <c r="E62">
        <v>79</v>
      </c>
      <c r="F62">
        <v>19</v>
      </c>
      <c r="G62">
        <v>30</v>
      </c>
      <c r="H62">
        <v>63</v>
      </c>
      <c r="I62">
        <v>1.843481426341249E-2</v>
      </c>
      <c r="J62">
        <v>4.4336895063903474E-3</v>
      </c>
      <c r="K62">
        <v>7.0005623785110742E-3</v>
      </c>
      <c r="L62">
        <v>1.4701180994873249E-2</v>
      </c>
    </row>
    <row r="63" spans="1:12">
      <c r="A63" s="1">
        <v>98</v>
      </c>
      <c r="B63" t="s">
        <v>109</v>
      </c>
      <c r="C63" t="s">
        <v>254</v>
      </c>
      <c r="D63">
        <v>1675</v>
      </c>
      <c r="E63">
        <v>11</v>
      </c>
      <c r="F63">
        <v>7</v>
      </c>
      <c r="G63">
        <v>12</v>
      </c>
      <c r="H63">
        <v>22</v>
      </c>
      <c r="I63">
        <v>6.5671641791044772E-3</v>
      </c>
      <c r="J63">
        <v>4.1791044776119399E-3</v>
      </c>
      <c r="K63">
        <v>7.164179104477612E-3</v>
      </c>
      <c r="L63">
        <v>1.3134328358208949E-2</v>
      </c>
    </row>
    <row r="64" spans="1:12">
      <c r="A64" s="1">
        <v>94</v>
      </c>
      <c r="B64" t="s">
        <v>105</v>
      </c>
      <c r="C64" t="s">
        <v>250</v>
      </c>
      <c r="D64">
        <v>2994.29</v>
      </c>
      <c r="E64">
        <v>30</v>
      </c>
      <c r="F64">
        <v>12</v>
      </c>
      <c r="G64">
        <v>16</v>
      </c>
      <c r="H64">
        <v>37</v>
      </c>
      <c r="I64">
        <v>1.001906962919423E-2</v>
      </c>
      <c r="J64">
        <v>4.0076278516776934E-3</v>
      </c>
      <c r="K64">
        <v>5.3435038022369248E-3</v>
      </c>
      <c r="L64">
        <v>1.2356852542672891E-2</v>
      </c>
    </row>
    <row r="65" spans="1:12">
      <c r="A65" s="1">
        <v>83</v>
      </c>
      <c r="B65" t="s">
        <v>94</v>
      </c>
      <c r="C65" t="s">
        <v>239</v>
      </c>
      <c r="D65">
        <v>1998.98</v>
      </c>
      <c r="E65">
        <v>20</v>
      </c>
      <c r="F65">
        <v>8</v>
      </c>
      <c r="G65">
        <v>12</v>
      </c>
      <c r="H65">
        <v>12</v>
      </c>
      <c r="I65">
        <v>1.000510260232719E-2</v>
      </c>
      <c r="J65">
        <v>4.0020410409308746E-3</v>
      </c>
      <c r="K65">
        <v>6.0030615613963119E-3</v>
      </c>
      <c r="L65">
        <v>6.0030615613963119E-3</v>
      </c>
    </row>
    <row r="66" spans="1:12">
      <c r="A66" s="1">
        <v>120</v>
      </c>
      <c r="B66" t="s">
        <v>131</v>
      </c>
      <c r="C66" t="s">
        <v>276</v>
      </c>
      <c r="D66">
        <v>500.17</v>
      </c>
      <c r="E66">
        <v>7</v>
      </c>
      <c r="F66">
        <v>2</v>
      </c>
      <c r="G66">
        <v>4</v>
      </c>
      <c r="H66">
        <v>9</v>
      </c>
      <c r="I66">
        <v>1.3995241617849929E-2</v>
      </c>
      <c r="J66">
        <v>3.9986404622428372E-3</v>
      </c>
      <c r="K66">
        <v>7.9972809244856745E-3</v>
      </c>
      <c r="L66">
        <v>1.7993882080092768E-2</v>
      </c>
    </row>
    <row r="67" spans="1:12">
      <c r="A67" s="1">
        <v>71</v>
      </c>
      <c r="B67" t="s">
        <v>82</v>
      </c>
      <c r="C67" t="s">
        <v>227</v>
      </c>
      <c r="D67">
        <v>6062.68</v>
      </c>
      <c r="E67">
        <v>39</v>
      </c>
      <c r="F67">
        <v>24</v>
      </c>
      <c r="G67">
        <v>23</v>
      </c>
      <c r="H67">
        <v>53</v>
      </c>
      <c r="I67">
        <v>6.4327986962861303E-3</v>
      </c>
      <c r="J67">
        <v>3.9586453515606957E-3</v>
      </c>
      <c r="K67">
        <v>3.7937017952456671E-3</v>
      </c>
      <c r="L67">
        <v>8.7420084846965371E-3</v>
      </c>
    </row>
    <row r="68" spans="1:12">
      <c r="A68" s="1">
        <v>109</v>
      </c>
      <c r="B68" t="s">
        <v>120</v>
      </c>
      <c r="C68" t="s">
        <v>265</v>
      </c>
      <c r="D68">
        <v>5591.34</v>
      </c>
      <c r="E68">
        <v>86</v>
      </c>
      <c r="F68">
        <v>22</v>
      </c>
      <c r="G68">
        <v>25</v>
      </c>
      <c r="H68">
        <v>101</v>
      </c>
      <c r="I68">
        <v>1.538092836422038E-2</v>
      </c>
      <c r="J68">
        <v>3.9346560931726561E-3</v>
      </c>
      <c r="K68">
        <v>4.471200105878018E-3</v>
      </c>
      <c r="L68">
        <v>1.806364842774719E-2</v>
      </c>
    </row>
    <row r="69" spans="1:12">
      <c r="A69" s="1">
        <v>28</v>
      </c>
      <c r="B69" t="s">
        <v>39</v>
      </c>
      <c r="C69" t="s">
        <v>184</v>
      </c>
      <c r="D69">
        <v>1039.71</v>
      </c>
      <c r="E69">
        <v>4</v>
      </c>
      <c r="F69">
        <v>4</v>
      </c>
      <c r="G69">
        <v>3</v>
      </c>
      <c r="H69">
        <v>3</v>
      </c>
      <c r="I69">
        <v>3.847226630502736E-3</v>
      </c>
      <c r="J69">
        <v>3.847226630502736E-3</v>
      </c>
      <c r="K69">
        <v>2.8854199728770521E-3</v>
      </c>
      <c r="L69">
        <v>2.8854199728770521E-3</v>
      </c>
    </row>
    <row r="70" spans="1:12">
      <c r="A70" s="1">
        <v>6</v>
      </c>
      <c r="B70" t="s">
        <v>17</v>
      </c>
      <c r="C70" t="s">
        <v>162</v>
      </c>
      <c r="D70">
        <v>804.81</v>
      </c>
      <c r="E70">
        <v>2</v>
      </c>
      <c r="F70">
        <v>3</v>
      </c>
      <c r="G70">
        <v>3</v>
      </c>
      <c r="H70">
        <v>4</v>
      </c>
      <c r="I70">
        <v>2.485058585256147E-3</v>
      </c>
      <c r="J70">
        <v>3.727587877884222E-3</v>
      </c>
      <c r="K70">
        <v>3.727587877884222E-3</v>
      </c>
      <c r="L70">
        <v>4.9701171705122948E-3</v>
      </c>
    </row>
    <row r="71" spans="1:12">
      <c r="A71" s="1">
        <v>34</v>
      </c>
      <c r="B71" t="s">
        <v>45</v>
      </c>
      <c r="C71" t="s">
        <v>190</v>
      </c>
      <c r="D71">
        <v>1095.95</v>
      </c>
      <c r="E71">
        <v>3</v>
      </c>
      <c r="F71">
        <v>4</v>
      </c>
      <c r="G71">
        <v>4</v>
      </c>
      <c r="H71">
        <v>8</v>
      </c>
      <c r="I71">
        <v>2.7373511565308641E-3</v>
      </c>
      <c r="J71">
        <v>3.6498015420411509E-3</v>
      </c>
      <c r="K71">
        <v>3.6498015420411509E-3</v>
      </c>
      <c r="L71">
        <v>7.2996030840823027E-3</v>
      </c>
    </row>
    <row r="72" spans="1:12">
      <c r="A72" s="1">
        <v>74</v>
      </c>
      <c r="B72" t="s">
        <v>85</v>
      </c>
      <c r="C72" t="s">
        <v>230</v>
      </c>
      <c r="D72">
        <v>565.64</v>
      </c>
      <c r="E72">
        <v>4</v>
      </c>
      <c r="F72">
        <v>2</v>
      </c>
      <c r="G72">
        <v>2</v>
      </c>
      <c r="H72">
        <v>6</v>
      </c>
      <c r="I72">
        <v>7.0716356693303166E-3</v>
      </c>
      <c r="J72">
        <v>3.5358178346651579E-3</v>
      </c>
      <c r="K72">
        <v>3.5358178346651579E-3</v>
      </c>
      <c r="L72">
        <v>1.060745350399547E-2</v>
      </c>
    </row>
    <row r="73" spans="1:12">
      <c r="A73" s="1">
        <v>68</v>
      </c>
      <c r="B73" t="s">
        <v>79</v>
      </c>
      <c r="C73" t="s">
        <v>224</v>
      </c>
      <c r="D73">
        <v>2288.5500000000002</v>
      </c>
      <c r="E73">
        <v>11</v>
      </c>
      <c r="F73">
        <v>8</v>
      </c>
      <c r="G73">
        <v>14</v>
      </c>
      <c r="H73">
        <v>27</v>
      </c>
      <c r="I73">
        <v>4.8065368901706318E-3</v>
      </c>
      <c r="J73">
        <v>3.495663192851369E-3</v>
      </c>
      <c r="K73">
        <v>6.1174105874898946E-3</v>
      </c>
      <c r="L73">
        <v>1.179786327587337E-2</v>
      </c>
    </row>
    <row r="74" spans="1:12">
      <c r="A74" s="1">
        <v>91</v>
      </c>
      <c r="B74" t="s">
        <v>102</v>
      </c>
      <c r="C74" t="s">
        <v>247</v>
      </c>
      <c r="D74">
        <v>11571.39</v>
      </c>
      <c r="E74">
        <v>102</v>
      </c>
      <c r="F74">
        <v>40</v>
      </c>
      <c r="G74">
        <v>40</v>
      </c>
      <c r="H74">
        <v>147</v>
      </c>
      <c r="I74">
        <v>8.8148441976288079E-3</v>
      </c>
      <c r="J74">
        <v>3.456801646128944E-3</v>
      </c>
      <c r="K74">
        <v>3.456801646128944E-3</v>
      </c>
      <c r="L74">
        <v>1.270374604952387E-2</v>
      </c>
    </row>
    <row r="75" spans="1:12">
      <c r="A75" s="1">
        <v>110</v>
      </c>
      <c r="B75" t="s">
        <v>121</v>
      </c>
      <c r="C75" t="s">
        <v>266</v>
      </c>
      <c r="D75">
        <v>12812.46</v>
      </c>
      <c r="E75">
        <v>174</v>
      </c>
      <c r="F75">
        <v>44</v>
      </c>
      <c r="G75">
        <v>82</v>
      </c>
      <c r="H75">
        <v>238</v>
      </c>
      <c r="I75">
        <v>1.3580530202630879E-2</v>
      </c>
      <c r="J75">
        <v>3.4341570627342451E-3</v>
      </c>
      <c r="K75">
        <v>6.4000199805501834E-3</v>
      </c>
      <c r="L75">
        <v>1.8575667748426141E-2</v>
      </c>
    </row>
    <row r="76" spans="1:12">
      <c r="A76" s="1">
        <v>62</v>
      </c>
      <c r="B76" t="s">
        <v>73</v>
      </c>
      <c r="C76" t="s">
        <v>218</v>
      </c>
      <c r="D76">
        <v>1752.14</v>
      </c>
      <c r="E76">
        <v>48</v>
      </c>
      <c r="F76">
        <v>6</v>
      </c>
      <c r="G76">
        <v>17</v>
      </c>
      <c r="H76">
        <v>65</v>
      </c>
      <c r="I76">
        <v>2.739507117011198E-2</v>
      </c>
      <c r="J76">
        <v>3.4243838962639971E-3</v>
      </c>
      <c r="K76">
        <v>9.7024210394146583E-3</v>
      </c>
      <c r="L76">
        <v>3.7097492209526628E-2</v>
      </c>
    </row>
    <row r="77" spans="1:12">
      <c r="A77" s="1">
        <v>84</v>
      </c>
      <c r="B77" t="s">
        <v>95</v>
      </c>
      <c r="C77" t="s">
        <v>240</v>
      </c>
      <c r="D77">
        <v>10478.93</v>
      </c>
      <c r="E77">
        <v>66</v>
      </c>
      <c r="F77">
        <v>33</v>
      </c>
      <c r="G77">
        <v>92</v>
      </c>
      <c r="H77">
        <v>130</v>
      </c>
      <c r="I77">
        <v>6.2983529806955483E-3</v>
      </c>
      <c r="J77">
        <v>3.1491764903477742E-3</v>
      </c>
      <c r="K77">
        <v>8.7795223367271268E-3</v>
      </c>
      <c r="L77">
        <v>1.24058467801579E-2</v>
      </c>
    </row>
    <row r="78" spans="1:12">
      <c r="A78" s="1">
        <v>118</v>
      </c>
      <c r="B78" t="s">
        <v>129</v>
      </c>
      <c r="C78" t="s">
        <v>274</v>
      </c>
      <c r="D78">
        <v>28817.599999999999</v>
      </c>
      <c r="E78">
        <v>392</v>
      </c>
      <c r="F78">
        <v>82</v>
      </c>
      <c r="G78">
        <v>174</v>
      </c>
      <c r="H78">
        <v>373</v>
      </c>
      <c r="I78">
        <v>1.360279828993393E-2</v>
      </c>
      <c r="J78">
        <v>2.8454833157514859E-3</v>
      </c>
      <c r="K78">
        <v>6.037976791960469E-3</v>
      </c>
      <c r="L78">
        <v>1.294347898506468E-2</v>
      </c>
    </row>
    <row r="79" spans="1:12">
      <c r="A79" s="1">
        <v>31</v>
      </c>
      <c r="B79" t="s">
        <v>42</v>
      </c>
      <c r="C79" t="s">
        <v>187</v>
      </c>
      <c r="D79">
        <v>10896.23</v>
      </c>
      <c r="E79">
        <v>46</v>
      </c>
      <c r="F79">
        <v>30</v>
      </c>
      <c r="G79">
        <v>38</v>
      </c>
      <c r="H79">
        <v>146</v>
      </c>
      <c r="I79">
        <v>4.2216436327059924E-3</v>
      </c>
      <c r="J79">
        <v>2.7532458474169509E-3</v>
      </c>
      <c r="K79">
        <v>3.487444740061471E-3</v>
      </c>
      <c r="L79">
        <v>1.3399129790762489E-2</v>
      </c>
    </row>
    <row r="80" spans="1:12">
      <c r="A80" s="1">
        <v>86</v>
      </c>
      <c r="B80" t="s">
        <v>97</v>
      </c>
      <c r="C80" t="s">
        <v>242</v>
      </c>
      <c r="D80">
        <v>2445.41</v>
      </c>
      <c r="E80">
        <v>21</v>
      </c>
      <c r="F80">
        <v>6</v>
      </c>
      <c r="G80">
        <v>12</v>
      </c>
      <c r="H80">
        <v>41</v>
      </c>
      <c r="I80">
        <v>8.587517021685526E-3</v>
      </c>
      <c r="J80">
        <v>2.45357629191015E-3</v>
      </c>
      <c r="K80">
        <v>4.9071525838203E-3</v>
      </c>
      <c r="L80">
        <v>1.676610466138603E-2</v>
      </c>
    </row>
    <row r="81" spans="1:12">
      <c r="A81" s="1">
        <v>23</v>
      </c>
      <c r="B81" t="s">
        <v>34</v>
      </c>
      <c r="C81" t="s">
        <v>179</v>
      </c>
      <c r="D81">
        <v>1633.03</v>
      </c>
      <c r="E81">
        <v>5</v>
      </c>
      <c r="F81">
        <v>4</v>
      </c>
      <c r="G81">
        <v>8</v>
      </c>
      <c r="H81">
        <v>15</v>
      </c>
      <c r="I81">
        <v>3.0617931085160708E-3</v>
      </c>
      <c r="J81">
        <v>2.4494344868128569E-3</v>
      </c>
      <c r="K81">
        <v>4.8988689736257146E-3</v>
      </c>
      <c r="L81">
        <v>9.1853793255482138E-3</v>
      </c>
    </row>
    <row r="82" spans="1:12">
      <c r="A82" s="1">
        <v>19</v>
      </c>
      <c r="B82" t="s">
        <v>30</v>
      </c>
      <c r="C82" t="s">
        <v>175</v>
      </c>
      <c r="D82">
        <v>412.66</v>
      </c>
      <c r="E82">
        <v>0</v>
      </c>
      <c r="F82">
        <v>1</v>
      </c>
      <c r="G82">
        <v>1</v>
      </c>
      <c r="H82">
        <v>4</v>
      </c>
      <c r="I82">
        <v>0</v>
      </c>
      <c r="J82">
        <v>2.4233024766151311E-3</v>
      </c>
      <c r="K82">
        <v>2.4233024766151311E-3</v>
      </c>
      <c r="L82">
        <v>9.6932099064605242E-3</v>
      </c>
    </row>
    <row r="83" spans="1:12">
      <c r="A83" s="1">
        <v>69</v>
      </c>
      <c r="B83" t="s">
        <v>80</v>
      </c>
      <c r="C83" t="s">
        <v>225</v>
      </c>
      <c r="D83">
        <v>3766.26</v>
      </c>
      <c r="E83">
        <v>23</v>
      </c>
      <c r="F83">
        <v>9</v>
      </c>
      <c r="G83">
        <v>14</v>
      </c>
      <c r="H83">
        <v>46</v>
      </c>
      <c r="I83">
        <v>6.1068540143272114E-3</v>
      </c>
      <c r="J83">
        <v>2.3896385273454298E-3</v>
      </c>
      <c r="K83">
        <v>3.7172154869817798E-3</v>
      </c>
      <c r="L83">
        <v>1.2213708028654419E-2</v>
      </c>
    </row>
    <row r="84" spans="1:12">
      <c r="A84" s="1">
        <v>48</v>
      </c>
      <c r="B84" t="s">
        <v>59</v>
      </c>
      <c r="C84" t="s">
        <v>204</v>
      </c>
      <c r="D84">
        <v>3809.2</v>
      </c>
      <c r="E84">
        <v>16</v>
      </c>
      <c r="F84">
        <v>9</v>
      </c>
      <c r="G84">
        <v>12</v>
      </c>
      <c r="H84">
        <v>46</v>
      </c>
      <c r="I84">
        <v>4.2003570303475804E-3</v>
      </c>
      <c r="J84">
        <v>2.362700829570514E-3</v>
      </c>
      <c r="K84">
        <v>3.1502677727606849E-3</v>
      </c>
      <c r="L84">
        <v>1.2076026462249289E-2</v>
      </c>
    </row>
    <row r="85" spans="1:12">
      <c r="A85" s="1">
        <v>142</v>
      </c>
      <c r="B85" t="s">
        <v>153</v>
      </c>
      <c r="C85" t="s">
        <v>298</v>
      </c>
      <c r="D85">
        <v>1728.91</v>
      </c>
      <c r="E85">
        <v>34</v>
      </c>
      <c r="F85">
        <v>4</v>
      </c>
      <c r="G85">
        <v>85</v>
      </c>
      <c r="H85">
        <v>91</v>
      </c>
      <c r="I85">
        <v>1.9665569636360479E-2</v>
      </c>
      <c r="J85">
        <v>2.313596427807115E-3</v>
      </c>
      <c r="K85">
        <v>4.9163924090901201E-2</v>
      </c>
      <c r="L85">
        <v>5.2634318732611873E-2</v>
      </c>
    </row>
    <row r="86" spans="1:12">
      <c r="A86" s="1">
        <v>39</v>
      </c>
      <c r="B86" t="s">
        <v>50</v>
      </c>
      <c r="C86" t="s">
        <v>195</v>
      </c>
      <c r="D86">
        <v>1771.83</v>
      </c>
      <c r="E86">
        <v>7</v>
      </c>
      <c r="F86">
        <v>4</v>
      </c>
      <c r="G86">
        <v>4</v>
      </c>
      <c r="H86">
        <v>1</v>
      </c>
      <c r="I86">
        <v>3.9507176196361951E-3</v>
      </c>
      <c r="J86">
        <v>2.257552925506398E-3</v>
      </c>
      <c r="K86">
        <v>2.257552925506398E-3</v>
      </c>
      <c r="L86">
        <v>5.6438823137659939E-4</v>
      </c>
    </row>
    <row r="87" spans="1:12">
      <c r="A87" s="1">
        <v>13</v>
      </c>
      <c r="B87" t="s">
        <v>24</v>
      </c>
      <c r="C87" t="s">
        <v>169</v>
      </c>
      <c r="D87">
        <v>4778.49</v>
      </c>
      <c r="E87">
        <v>16</v>
      </c>
      <c r="F87">
        <v>10</v>
      </c>
      <c r="G87">
        <v>0</v>
      </c>
      <c r="H87">
        <v>0</v>
      </c>
      <c r="I87">
        <v>3.3483380733244179E-3</v>
      </c>
      <c r="J87">
        <v>2.0927112958277622E-3</v>
      </c>
      <c r="K87">
        <v>0</v>
      </c>
      <c r="L87">
        <v>0</v>
      </c>
    </row>
    <row r="88" spans="1:12">
      <c r="A88" s="1">
        <v>29</v>
      </c>
      <c r="B88" t="s">
        <v>40</v>
      </c>
      <c r="C88" t="s">
        <v>185</v>
      </c>
      <c r="D88">
        <v>53584.57</v>
      </c>
      <c r="E88">
        <v>179</v>
      </c>
      <c r="F88">
        <v>112</v>
      </c>
      <c r="G88">
        <v>221</v>
      </c>
      <c r="H88">
        <v>297</v>
      </c>
      <c r="I88">
        <v>3.3405138830077388E-3</v>
      </c>
      <c r="J88">
        <v>2.090153937971323E-3</v>
      </c>
      <c r="K88">
        <v>4.1243216097469849E-3</v>
      </c>
      <c r="L88">
        <v>5.5426403533703822E-3</v>
      </c>
    </row>
    <row r="89" spans="1:12">
      <c r="A89" s="1">
        <v>79</v>
      </c>
      <c r="B89" t="s">
        <v>90</v>
      </c>
      <c r="C89" t="s">
        <v>235</v>
      </c>
      <c r="D89">
        <v>5606.62</v>
      </c>
      <c r="E89">
        <v>32</v>
      </c>
      <c r="F89">
        <v>11</v>
      </c>
      <c r="G89">
        <v>47</v>
      </c>
      <c r="H89">
        <v>116</v>
      </c>
      <c r="I89">
        <v>5.7075385883116744E-3</v>
      </c>
      <c r="J89">
        <v>1.9619663897321379E-3</v>
      </c>
      <c r="K89">
        <v>8.3829473015827726E-3</v>
      </c>
      <c r="L89">
        <v>2.0689827382629821E-2</v>
      </c>
    </row>
    <row r="90" spans="1:12">
      <c r="A90" s="1">
        <v>33</v>
      </c>
      <c r="B90" t="s">
        <v>44</v>
      </c>
      <c r="C90" t="s">
        <v>189</v>
      </c>
      <c r="D90">
        <v>8791.35</v>
      </c>
      <c r="E90">
        <v>19</v>
      </c>
      <c r="F90">
        <v>16</v>
      </c>
      <c r="G90">
        <v>51</v>
      </c>
      <c r="H90">
        <v>117</v>
      </c>
      <c r="I90">
        <v>2.161215285479477E-3</v>
      </c>
      <c r="J90">
        <v>1.81997076671956E-3</v>
      </c>
      <c r="K90">
        <v>5.8011568189185962E-3</v>
      </c>
      <c r="L90">
        <v>1.330853623163678E-2</v>
      </c>
    </row>
    <row r="91" spans="1:12">
      <c r="A91" s="1">
        <v>56</v>
      </c>
      <c r="B91" t="s">
        <v>67</v>
      </c>
      <c r="C91" t="s">
        <v>212</v>
      </c>
      <c r="D91">
        <v>1110.81</v>
      </c>
      <c r="E91">
        <v>4</v>
      </c>
      <c r="F91">
        <v>2</v>
      </c>
      <c r="G91">
        <v>10</v>
      </c>
      <c r="H91">
        <v>15</v>
      </c>
      <c r="I91">
        <v>3.6009758644592691E-3</v>
      </c>
      <c r="J91">
        <v>1.8004879322296339E-3</v>
      </c>
      <c r="K91">
        <v>9.0024396611481719E-3</v>
      </c>
      <c r="L91">
        <v>1.350365949172226E-2</v>
      </c>
    </row>
    <row r="92" spans="1:12">
      <c r="A92" s="1">
        <v>57</v>
      </c>
      <c r="B92" t="s">
        <v>68</v>
      </c>
      <c r="C92" t="s">
        <v>213</v>
      </c>
      <c r="D92">
        <v>1159.21</v>
      </c>
      <c r="E92">
        <v>4</v>
      </c>
      <c r="F92">
        <v>2</v>
      </c>
      <c r="G92">
        <v>10</v>
      </c>
      <c r="H92">
        <v>22</v>
      </c>
      <c r="I92">
        <v>3.4506258572648608E-3</v>
      </c>
      <c r="J92">
        <v>1.725312928632431E-3</v>
      </c>
      <c r="K92">
        <v>8.6265646431621535E-3</v>
      </c>
      <c r="L92">
        <v>1.8978442214956742E-2</v>
      </c>
    </row>
    <row r="93" spans="1:12">
      <c r="A93" s="1">
        <v>105</v>
      </c>
      <c r="B93" t="s">
        <v>116</v>
      </c>
      <c r="C93" t="s">
        <v>261</v>
      </c>
      <c r="D93">
        <v>585.64</v>
      </c>
      <c r="E93">
        <v>4</v>
      </c>
      <c r="F93">
        <v>1</v>
      </c>
      <c r="G93">
        <v>9</v>
      </c>
      <c r="H93">
        <v>26</v>
      </c>
      <c r="I93">
        <v>6.8301345536507067E-3</v>
      </c>
      <c r="J93">
        <v>1.7075336384126769E-3</v>
      </c>
      <c r="K93">
        <v>1.5367802745714089E-2</v>
      </c>
      <c r="L93">
        <v>4.4395874598729602E-2</v>
      </c>
    </row>
    <row r="94" spans="1:12">
      <c r="A94" s="1">
        <v>47</v>
      </c>
      <c r="B94" t="s">
        <v>58</v>
      </c>
      <c r="C94" t="s">
        <v>203</v>
      </c>
      <c r="D94">
        <v>10199.82</v>
      </c>
      <c r="E94">
        <v>49</v>
      </c>
      <c r="F94">
        <v>15</v>
      </c>
      <c r="G94">
        <v>55</v>
      </c>
      <c r="H94">
        <v>32</v>
      </c>
      <c r="I94">
        <v>4.8040063452100138E-3</v>
      </c>
      <c r="J94">
        <v>1.470614187309188E-3</v>
      </c>
      <c r="K94">
        <v>5.3922520201336891E-3</v>
      </c>
      <c r="L94">
        <v>3.1373102662596011E-3</v>
      </c>
    </row>
    <row r="95" spans="1:12">
      <c r="A95" s="1">
        <v>41</v>
      </c>
      <c r="B95" t="s">
        <v>52</v>
      </c>
      <c r="C95" t="s">
        <v>197</v>
      </c>
      <c r="D95">
        <v>8340.48</v>
      </c>
      <c r="E95">
        <v>25</v>
      </c>
      <c r="F95">
        <v>12</v>
      </c>
      <c r="G95">
        <v>33</v>
      </c>
      <c r="H95">
        <v>97</v>
      </c>
      <c r="I95">
        <v>2.9974294045426639E-3</v>
      </c>
      <c r="J95">
        <v>1.4387661141804791E-3</v>
      </c>
      <c r="K95">
        <v>3.9566068139963171E-3</v>
      </c>
      <c r="L95">
        <v>1.163002608962554E-2</v>
      </c>
    </row>
    <row r="96" spans="1:12">
      <c r="A96" s="1">
        <v>88</v>
      </c>
      <c r="B96" t="s">
        <v>99</v>
      </c>
      <c r="C96" t="s">
        <v>244</v>
      </c>
      <c r="D96">
        <v>706.47</v>
      </c>
      <c r="E96">
        <v>6</v>
      </c>
      <c r="F96">
        <v>1</v>
      </c>
      <c r="G96">
        <v>2</v>
      </c>
      <c r="H96">
        <v>6</v>
      </c>
      <c r="I96">
        <v>8.4929296360779644E-3</v>
      </c>
      <c r="J96">
        <v>1.4154882726796611E-3</v>
      </c>
      <c r="K96">
        <v>2.8309765453593222E-3</v>
      </c>
      <c r="L96">
        <v>8.4929296360779644E-3</v>
      </c>
    </row>
    <row r="97" spans="1:12">
      <c r="A97" s="1">
        <v>36</v>
      </c>
      <c r="B97" t="s">
        <v>47</v>
      </c>
      <c r="C97" t="s">
        <v>192</v>
      </c>
      <c r="D97">
        <v>2914.12</v>
      </c>
      <c r="E97">
        <v>11</v>
      </c>
      <c r="F97">
        <v>4</v>
      </c>
      <c r="G97">
        <v>8</v>
      </c>
      <c r="H97">
        <v>26</v>
      </c>
      <c r="I97">
        <v>3.7747244451155071E-3</v>
      </c>
      <c r="J97">
        <v>1.3726270709510931E-3</v>
      </c>
      <c r="K97">
        <v>2.745254141902187E-3</v>
      </c>
      <c r="L97">
        <v>8.9220759611821059E-3</v>
      </c>
    </row>
    <row r="98" spans="1:12">
      <c r="A98" s="1">
        <v>95</v>
      </c>
      <c r="B98" t="s">
        <v>106</v>
      </c>
      <c r="C98" t="s">
        <v>251</v>
      </c>
      <c r="D98">
        <v>6706.35</v>
      </c>
      <c r="E98">
        <v>17</v>
      </c>
      <c r="F98">
        <v>9</v>
      </c>
      <c r="G98">
        <v>124</v>
      </c>
      <c r="H98">
        <v>158</v>
      </c>
      <c r="I98">
        <v>2.5349109426140901E-3</v>
      </c>
      <c r="J98">
        <v>1.3420116755015769E-3</v>
      </c>
      <c r="K98">
        <v>1.8489938640243949E-2</v>
      </c>
      <c r="L98">
        <v>2.355976052547213E-2</v>
      </c>
    </row>
    <row r="99" spans="1:12">
      <c r="A99" s="1">
        <v>59</v>
      </c>
      <c r="B99" t="s">
        <v>70</v>
      </c>
      <c r="C99" t="s">
        <v>215</v>
      </c>
      <c r="D99">
        <v>4005.47</v>
      </c>
      <c r="E99">
        <v>17</v>
      </c>
      <c r="F99">
        <v>5</v>
      </c>
      <c r="G99">
        <v>20</v>
      </c>
      <c r="H99">
        <v>54</v>
      </c>
      <c r="I99">
        <v>4.2441960618853723E-3</v>
      </c>
      <c r="J99">
        <v>1.248292959378051E-3</v>
      </c>
      <c r="K99">
        <v>4.9931718375122022E-3</v>
      </c>
      <c r="L99">
        <v>1.3481563961282949E-2</v>
      </c>
    </row>
    <row r="100" spans="1:12">
      <c r="A100" s="1">
        <v>16</v>
      </c>
      <c r="B100" t="s">
        <v>27</v>
      </c>
      <c r="C100" t="s">
        <v>172</v>
      </c>
      <c r="D100">
        <v>9107.02</v>
      </c>
      <c r="E100">
        <v>26</v>
      </c>
      <c r="F100">
        <v>11</v>
      </c>
      <c r="G100">
        <v>14</v>
      </c>
      <c r="H100">
        <v>34</v>
      </c>
      <c r="I100">
        <v>2.8549404744911068E-3</v>
      </c>
      <c r="J100">
        <v>1.207859431515468E-3</v>
      </c>
      <c r="K100">
        <v>1.5372756401105961E-3</v>
      </c>
      <c r="L100">
        <v>3.733383697411447E-3</v>
      </c>
    </row>
    <row r="101" spans="1:12">
      <c r="A101" s="1">
        <v>5</v>
      </c>
      <c r="B101" t="s">
        <v>16</v>
      </c>
      <c r="C101" t="s">
        <v>161</v>
      </c>
      <c r="D101">
        <v>1684.55</v>
      </c>
      <c r="E101">
        <v>2</v>
      </c>
      <c r="F101">
        <v>2</v>
      </c>
      <c r="G101">
        <v>2</v>
      </c>
      <c r="H101">
        <v>12</v>
      </c>
      <c r="I101">
        <v>1.1872606927666139E-3</v>
      </c>
      <c r="J101">
        <v>1.1872606927666139E-3</v>
      </c>
      <c r="K101">
        <v>1.1872606927666139E-3</v>
      </c>
      <c r="L101">
        <v>7.1235641565996852E-3</v>
      </c>
    </row>
    <row r="102" spans="1:12">
      <c r="A102" s="1">
        <v>32</v>
      </c>
      <c r="B102" t="s">
        <v>43</v>
      </c>
      <c r="C102" t="s">
        <v>188</v>
      </c>
      <c r="D102">
        <v>12968.47</v>
      </c>
      <c r="E102">
        <v>32</v>
      </c>
      <c r="F102">
        <v>15</v>
      </c>
      <c r="G102">
        <v>92</v>
      </c>
      <c r="H102">
        <v>117</v>
      </c>
      <c r="I102">
        <v>2.4675231542348481E-3</v>
      </c>
      <c r="J102">
        <v>1.1566514785475851E-3</v>
      </c>
      <c r="K102">
        <v>7.0941290684251876E-3</v>
      </c>
      <c r="L102">
        <v>9.0218815326711631E-3</v>
      </c>
    </row>
    <row r="103" spans="1:12">
      <c r="A103" s="1">
        <v>25</v>
      </c>
      <c r="B103" t="s">
        <v>36</v>
      </c>
      <c r="C103" t="s">
        <v>181</v>
      </c>
      <c r="D103">
        <v>10816.4</v>
      </c>
      <c r="E103">
        <v>31</v>
      </c>
      <c r="F103">
        <v>12</v>
      </c>
      <c r="G103">
        <v>44</v>
      </c>
      <c r="H103">
        <v>89</v>
      </c>
      <c r="I103">
        <v>2.866018268555157E-3</v>
      </c>
      <c r="J103">
        <v>1.10942642653748E-3</v>
      </c>
      <c r="K103">
        <v>4.0678968973040944E-3</v>
      </c>
      <c r="L103">
        <v>8.2282459968196445E-3</v>
      </c>
    </row>
    <row r="104" spans="1:12">
      <c r="A104" s="1">
        <v>60</v>
      </c>
      <c r="B104" t="s">
        <v>71</v>
      </c>
      <c r="C104" t="s">
        <v>216</v>
      </c>
      <c r="D104">
        <v>5431.7</v>
      </c>
      <c r="E104">
        <v>22</v>
      </c>
      <c r="F104">
        <v>6</v>
      </c>
      <c r="G104">
        <v>21</v>
      </c>
      <c r="H104">
        <v>36</v>
      </c>
      <c r="I104">
        <v>4.0502973286448071E-3</v>
      </c>
      <c r="J104">
        <v>1.104626544175857E-3</v>
      </c>
      <c r="K104">
        <v>3.866192904615498E-3</v>
      </c>
      <c r="L104">
        <v>6.6277592650551397E-3</v>
      </c>
    </row>
    <row r="105" spans="1:12">
      <c r="A105" s="1">
        <v>37</v>
      </c>
      <c r="B105" t="s">
        <v>48</v>
      </c>
      <c r="C105" t="s">
        <v>193</v>
      </c>
      <c r="D105">
        <v>6484.64</v>
      </c>
      <c r="E105">
        <v>21</v>
      </c>
      <c r="F105">
        <v>7</v>
      </c>
      <c r="G105">
        <v>30</v>
      </c>
      <c r="H105">
        <v>85</v>
      </c>
      <c r="I105">
        <v>3.2384218707592091E-3</v>
      </c>
      <c r="J105">
        <v>1.079473956919736E-3</v>
      </c>
      <c r="K105">
        <v>4.6263169582274419E-3</v>
      </c>
      <c r="L105">
        <v>1.3107898048311089E-2</v>
      </c>
    </row>
    <row r="106" spans="1:12">
      <c r="A106" s="1">
        <v>21</v>
      </c>
      <c r="B106" t="s">
        <v>32</v>
      </c>
      <c r="C106" t="s">
        <v>177</v>
      </c>
      <c r="D106">
        <v>9800.35</v>
      </c>
      <c r="E106">
        <v>22</v>
      </c>
      <c r="F106">
        <v>10</v>
      </c>
      <c r="G106">
        <v>35</v>
      </c>
      <c r="H106">
        <v>72</v>
      </c>
      <c r="I106">
        <v>2.2448177871198481E-3</v>
      </c>
      <c r="J106">
        <v>1.020371721418112E-3</v>
      </c>
      <c r="K106">
        <v>3.571301024963394E-3</v>
      </c>
      <c r="L106">
        <v>7.3466763942104107E-3</v>
      </c>
    </row>
    <row r="107" spans="1:12">
      <c r="A107" s="1">
        <v>35</v>
      </c>
      <c r="B107" t="s">
        <v>46</v>
      </c>
      <c r="C107" t="s">
        <v>191</v>
      </c>
      <c r="D107">
        <v>5922.72</v>
      </c>
      <c r="E107">
        <v>21</v>
      </c>
      <c r="F107">
        <v>6</v>
      </c>
      <c r="G107">
        <v>18</v>
      </c>
      <c r="H107">
        <v>58</v>
      </c>
      <c r="I107">
        <v>3.5456682064997158E-3</v>
      </c>
      <c r="J107">
        <v>1.013048058999919E-3</v>
      </c>
      <c r="K107">
        <v>3.039144176999757E-3</v>
      </c>
      <c r="L107">
        <v>9.7927979036658824E-3</v>
      </c>
    </row>
    <row r="108" spans="1:12">
      <c r="A108" s="1">
        <v>30</v>
      </c>
      <c r="B108" t="s">
        <v>41</v>
      </c>
      <c r="C108" t="s">
        <v>186</v>
      </c>
      <c r="D108">
        <v>15279.27</v>
      </c>
      <c r="E108">
        <v>53</v>
      </c>
      <c r="F108">
        <v>15</v>
      </c>
      <c r="G108">
        <v>68</v>
      </c>
      <c r="H108">
        <v>153</v>
      </c>
      <c r="I108">
        <v>3.4687521066124232E-3</v>
      </c>
      <c r="J108">
        <v>9.8172229432427066E-4</v>
      </c>
      <c r="K108">
        <v>4.4504744009366938E-3</v>
      </c>
      <c r="L108">
        <v>1.001356740210756E-2</v>
      </c>
    </row>
    <row r="109" spans="1:12">
      <c r="A109" s="1">
        <v>85</v>
      </c>
      <c r="B109" t="s">
        <v>96</v>
      </c>
      <c r="C109" t="s">
        <v>241</v>
      </c>
      <c r="D109">
        <v>9686.39</v>
      </c>
      <c r="E109">
        <v>75</v>
      </c>
      <c r="F109">
        <v>9</v>
      </c>
      <c r="G109">
        <v>39</v>
      </c>
      <c r="H109">
        <v>38</v>
      </c>
      <c r="I109">
        <v>7.7428226614868912E-3</v>
      </c>
      <c r="J109">
        <v>9.2913871937842687E-4</v>
      </c>
      <c r="K109">
        <v>4.0262677839731833E-3</v>
      </c>
      <c r="L109">
        <v>3.9230301484866918E-3</v>
      </c>
    </row>
    <row r="110" spans="1:12">
      <c r="A110" s="1">
        <v>27</v>
      </c>
      <c r="B110" t="s">
        <v>38</v>
      </c>
      <c r="C110" t="s">
        <v>183</v>
      </c>
      <c r="D110">
        <v>9261.39</v>
      </c>
      <c r="E110">
        <v>18</v>
      </c>
      <c r="F110">
        <v>8</v>
      </c>
      <c r="G110">
        <v>54</v>
      </c>
      <c r="H110">
        <v>81</v>
      </c>
      <c r="I110">
        <v>1.943552749641253E-3</v>
      </c>
      <c r="J110">
        <v>8.6380122206277895E-4</v>
      </c>
      <c r="K110">
        <v>5.8306582489237582E-3</v>
      </c>
      <c r="L110">
        <v>8.7459873733856369E-3</v>
      </c>
    </row>
    <row r="111" spans="1:12">
      <c r="A111" s="1">
        <v>65</v>
      </c>
      <c r="B111" t="s">
        <v>76</v>
      </c>
      <c r="C111" t="s">
        <v>221</v>
      </c>
      <c r="D111">
        <v>12284.61</v>
      </c>
      <c r="E111">
        <v>71</v>
      </c>
      <c r="F111">
        <v>10</v>
      </c>
      <c r="G111">
        <v>33</v>
      </c>
      <c r="H111">
        <v>110</v>
      </c>
      <c r="I111">
        <v>5.7795892584298564E-3</v>
      </c>
      <c r="J111">
        <v>8.1402665611688112E-4</v>
      </c>
      <c r="K111">
        <v>2.6862879651857081E-3</v>
      </c>
      <c r="L111">
        <v>8.9542932172856932E-3</v>
      </c>
    </row>
    <row r="112" spans="1:12">
      <c r="A112" s="1">
        <v>15</v>
      </c>
      <c r="B112" t="s">
        <v>26</v>
      </c>
      <c r="C112" t="s">
        <v>171</v>
      </c>
      <c r="D112">
        <v>1246.01</v>
      </c>
      <c r="E112">
        <v>2</v>
      </c>
      <c r="F112">
        <v>1</v>
      </c>
      <c r="G112">
        <v>12</v>
      </c>
      <c r="H112">
        <v>10</v>
      </c>
      <c r="I112">
        <v>1.605123554385599E-3</v>
      </c>
      <c r="J112">
        <v>8.025617771927994E-4</v>
      </c>
      <c r="K112">
        <v>9.6307413263135924E-3</v>
      </c>
      <c r="L112">
        <v>8.0256177719279943E-3</v>
      </c>
    </row>
    <row r="113" spans="1:12">
      <c r="A113" s="1">
        <v>1</v>
      </c>
      <c r="B113" t="s">
        <v>12</v>
      </c>
      <c r="C113" t="s">
        <v>157</v>
      </c>
      <c r="D113">
        <v>6567.66</v>
      </c>
      <c r="E113">
        <v>20</v>
      </c>
      <c r="F113">
        <v>5</v>
      </c>
      <c r="G113">
        <v>11</v>
      </c>
      <c r="H113">
        <v>19</v>
      </c>
      <c r="I113">
        <v>3.0452246309949048E-3</v>
      </c>
      <c r="J113">
        <v>7.613061577487263E-4</v>
      </c>
      <c r="K113">
        <v>1.674873547047198E-3</v>
      </c>
      <c r="L113">
        <v>2.8929633994451598E-3</v>
      </c>
    </row>
    <row r="114" spans="1:12">
      <c r="A114" s="1">
        <v>43</v>
      </c>
      <c r="B114" t="s">
        <v>54</v>
      </c>
      <c r="C114" t="s">
        <v>199</v>
      </c>
      <c r="D114">
        <v>5595.44</v>
      </c>
      <c r="E114">
        <v>9</v>
      </c>
      <c r="F114">
        <v>4</v>
      </c>
      <c r="G114">
        <v>33</v>
      </c>
      <c r="H114">
        <v>53</v>
      </c>
      <c r="I114">
        <v>1.608452597114794E-3</v>
      </c>
      <c r="J114">
        <v>7.1486782093990828E-4</v>
      </c>
      <c r="K114">
        <v>5.8976595227542431E-3</v>
      </c>
      <c r="L114">
        <v>9.4719986274537839E-3</v>
      </c>
    </row>
    <row r="115" spans="1:12">
      <c r="A115" s="1">
        <v>14</v>
      </c>
      <c r="B115" t="s">
        <v>25</v>
      </c>
      <c r="C115" t="s">
        <v>170</v>
      </c>
      <c r="D115">
        <v>4201.4399999999996</v>
      </c>
      <c r="E115">
        <v>8</v>
      </c>
      <c r="F115">
        <v>3</v>
      </c>
      <c r="G115">
        <v>14</v>
      </c>
      <c r="H115">
        <v>33</v>
      </c>
      <c r="I115">
        <v>1.904109067367379E-3</v>
      </c>
      <c r="J115">
        <v>7.140409002627671E-4</v>
      </c>
      <c r="K115">
        <v>3.332190867892913E-3</v>
      </c>
      <c r="L115">
        <v>7.854449902890439E-3</v>
      </c>
    </row>
    <row r="116" spans="1:12">
      <c r="A116" s="1">
        <v>51</v>
      </c>
      <c r="B116" t="s">
        <v>62</v>
      </c>
      <c r="C116" t="s">
        <v>207</v>
      </c>
      <c r="D116">
        <v>2802.36</v>
      </c>
      <c r="E116">
        <v>17</v>
      </c>
      <c r="F116">
        <v>2</v>
      </c>
      <c r="G116">
        <v>11</v>
      </c>
      <c r="H116">
        <v>0</v>
      </c>
      <c r="I116">
        <v>6.0663155340498721E-3</v>
      </c>
      <c r="J116">
        <v>7.1368418047645552E-4</v>
      </c>
      <c r="K116">
        <v>3.9252629926205054E-3</v>
      </c>
      <c r="L116">
        <v>0</v>
      </c>
    </row>
    <row r="117" spans="1:12">
      <c r="A117" s="1">
        <v>11</v>
      </c>
      <c r="B117" t="s">
        <v>22</v>
      </c>
      <c r="C117" t="s">
        <v>167</v>
      </c>
      <c r="D117">
        <v>4221.32</v>
      </c>
      <c r="E117">
        <v>7</v>
      </c>
      <c r="F117">
        <v>3</v>
      </c>
      <c r="G117">
        <v>20</v>
      </c>
      <c r="H117">
        <v>1</v>
      </c>
      <c r="I117">
        <v>1.6582490784872979E-3</v>
      </c>
      <c r="J117">
        <v>7.1067817649455624E-4</v>
      </c>
      <c r="K117">
        <v>4.7378545099637081E-3</v>
      </c>
      <c r="L117">
        <v>2.3689272549818539E-4</v>
      </c>
    </row>
    <row r="118" spans="1:12">
      <c r="A118" s="1">
        <v>20</v>
      </c>
      <c r="B118" t="s">
        <v>31</v>
      </c>
      <c r="C118" t="s">
        <v>176</v>
      </c>
      <c r="D118">
        <v>1490.27</v>
      </c>
      <c r="E118">
        <v>4</v>
      </c>
      <c r="F118">
        <v>1</v>
      </c>
      <c r="G118">
        <v>5</v>
      </c>
      <c r="H118">
        <v>12</v>
      </c>
      <c r="I118">
        <v>2.6840773819509218E-3</v>
      </c>
      <c r="J118">
        <v>6.7101934548773046E-4</v>
      </c>
      <c r="K118">
        <v>3.355096727438652E-3</v>
      </c>
      <c r="L118">
        <v>8.0522321458527651E-3</v>
      </c>
    </row>
    <row r="119" spans="1:12">
      <c r="A119" s="1">
        <v>17</v>
      </c>
      <c r="B119" t="s">
        <v>28</v>
      </c>
      <c r="C119" t="s">
        <v>173</v>
      </c>
      <c r="D119">
        <v>4627.9799999999996</v>
      </c>
      <c r="E119">
        <v>10</v>
      </c>
      <c r="F119">
        <v>3</v>
      </c>
      <c r="G119">
        <v>18</v>
      </c>
      <c r="H119">
        <v>39</v>
      </c>
      <c r="I119">
        <v>2.160769925539869E-3</v>
      </c>
      <c r="J119">
        <v>6.4823097766196058E-4</v>
      </c>
      <c r="K119">
        <v>3.889385865971763E-3</v>
      </c>
      <c r="L119">
        <v>8.4270027096054866E-3</v>
      </c>
    </row>
    <row r="120" spans="1:12">
      <c r="A120" s="1">
        <v>26</v>
      </c>
      <c r="B120" t="s">
        <v>37</v>
      </c>
      <c r="C120" t="s">
        <v>182</v>
      </c>
      <c r="D120">
        <v>1977.9</v>
      </c>
      <c r="E120">
        <v>5</v>
      </c>
      <c r="F120">
        <v>1</v>
      </c>
      <c r="G120">
        <v>6</v>
      </c>
      <c r="H120">
        <v>27</v>
      </c>
      <c r="I120">
        <v>2.5279336670205768E-3</v>
      </c>
      <c r="J120">
        <v>5.0558673340411547E-4</v>
      </c>
      <c r="K120">
        <v>3.033520400424693E-3</v>
      </c>
      <c r="L120">
        <v>1.3650841801911119E-2</v>
      </c>
    </row>
    <row r="121" spans="1:12">
      <c r="A121" s="1">
        <v>9</v>
      </c>
      <c r="B121" t="s">
        <v>20</v>
      </c>
      <c r="C121" t="s">
        <v>165</v>
      </c>
      <c r="D121">
        <v>6231.4</v>
      </c>
      <c r="E121">
        <v>16</v>
      </c>
      <c r="F121">
        <v>3</v>
      </c>
      <c r="G121">
        <v>8</v>
      </c>
      <c r="H121">
        <v>26</v>
      </c>
      <c r="I121">
        <v>2.5676413005103192E-3</v>
      </c>
      <c r="J121">
        <v>4.8143274384568482E-4</v>
      </c>
      <c r="K121">
        <v>1.2838206502551589E-3</v>
      </c>
      <c r="L121">
        <v>4.1724171133292682E-3</v>
      </c>
    </row>
    <row r="122" spans="1:12">
      <c r="A122" s="1">
        <v>12</v>
      </c>
      <c r="B122" t="s">
        <v>23</v>
      </c>
      <c r="C122" t="s">
        <v>168</v>
      </c>
      <c r="D122">
        <v>6428.71</v>
      </c>
      <c r="E122">
        <v>16</v>
      </c>
      <c r="F122">
        <v>3</v>
      </c>
      <c r="G122">
        <v>8</v>
      </c>
      <c r="H122">
        <v>15</v>
      </c>
      <c r="I122">
        <v>2.4888352406625901E-3</v>
      </c>
      <c r="J122">
        <v>4.6665660762423568E-4</v>
      </c>
      <c r="K122">
        <v>1.2444176203312951E-3</v>
      </c>
      <c r="L122">
        <v>2.3332830381211779E-3</v>
      </c>
    </row>
    <row r="123" spans="1:12">
      <c r="A123" s="1">
        <v>40</v>
      </c>
      <c r="B123" t="s">
        <v>51</v>
      </c>
      <c r="C123" t="s">
        <v>196</v>
      </c>
      <c r="D123">
        <v>10743.12</v>
      </c>
      <c r="E123">
        <v>26</v>
      </c>
      <c r="F123">
        <v>5</v>
      </c>
      <c r="G123">
        <v>105</v>
      </c>
      <c r="H123">
        <v>94</v>
      </c>
      <c r="I123">
        <v>2.4201535494344281E-3</v>
      </c>
      <c r="J123">
        <v>4.6541414412200549E-4</v>
      </c>
      <c r="K123">
        <v>9.7736970265621149E-3</v>
      </c>
      <c r="L123">
        <v>8.7497859094937038E-3</v>
      </c>
    </row>
    <row r="124" spans="1:12">
      <c r="A124" s="1">
        <v>49</v>
      </c>
      <c r="B124" t="s">
        <v>60</v>
      </c>
      <c r="C124" t="s">
        <v>205</v>
      </c>
      <c r="D124">
        <v>5460.55</v>
      </c>
      <c r="E124">
        <v>14</v>
      </c>
      <c r="F124">
        <v>2</v>
      </c>
      <c r="G124">
        <v>55</v>
      </c>
      <c r="H124">
        <v>118</v>
      </c>
      <c r="I124">
        <v>2.5638443013982111E-3</v>
      </c>
      <c r="J124">
        <v>3.662634716283158E-4</v>
      </c>
      <c r="K124">
        <v>1.007224546977869E-2</v>
      </c>
      <c r="L124">
        <v>2.160954482607063E-2</v>
      </c>
    </row>
    <row r="125" spans="1:12">
      <c r="A125" s="1">
        <v>7</v>
      </c>
      <c r="B125" t="s">
        <v>18</v>
      </c>
      <c r="C125" t="s">
        <v>163</v>
      </c>
      <c r="D125">
        <v>19257.47</v>
      </c>
      <c r="E125">
        <v>45</v>
      </c>
      <c r="F125">
        <v>6</v>
      </c>
      <c r="G125">
        <v>173</v>
      </c>
      <c r="H125">
        <v>127</v>
      </c>
      <c r="I125">
        <v>2.3367555551170528E-3</v>
      </c>
      <c r="J125">
        <v>3.1156740734894039E-4</v>
      </c>
      <c r="K125">
        <v>8.9835269118944492E-3</v>
      </c>
      <c r="L125">
        <v>6.5948434555525718E-3</v>
      </c>
    </row>
    <row r="126" spans="1:12">
      <c r="A126" s="1">
        <v>53</v>
      </c>
      <c r="B126" t="s">
        <v>64</v>
      </c>
      <c r="C126" t="s">
        <v>209</v>
      </c>
      <c r="D126">
        <v>41448.400000000001</v>
      </c>
      <c r="E126">
        <v>93</v>
      </c>
      <c r="F126">
        <v>11</v>
      </c>
      <c r="G126">
        <v>166</v>
      </c>
      <c r="H126">
        <v>379</v>
      </c>
      <c r="I126">
        <v>2.2437536792735062E-3</v>
      </c>
      <c r="J126">
        <v>2.6539022012912441E-4</v>
      </c>
      <c r="K126">
        <v>4.0049796855849678E-3</v>
      </c>
      <c r="L126">
        <v>9.14389940263074E-3</v>
      </c>
    </row>
    <row r="127" spans="1:12">
      <c r="A127" s="1">
        <v>77</v>
      </c>
      <c r="B127" t="s">
        <v>88</v>
      </c>
      <c r="C127" t="s">
        <v>233</v>
      </c>
      <c r="D127">
        <v>4454.37</v>
      </c>
      <c r="E127">
        <v>13</v>
      </c>
      <c r="F127">
        <v>1</v>
      </c>
      <c r="G127">
        <v>37</v>
      </c>
      <c r="H127">
        <v>45</v>
      </c>
      <c r="I127">
        <v>2.9184822994048538E-3</v>
      </c>
      <c r="J127">
        <v>2.2449863841575801E-4</v>
      </c>
      <c r="K127">
        <v>8.3064496213830462E-3</v>
      </c>
      <c r="L127">
        <v>1.010243872870911E-2</v>
      </c>
    </row>
    <row r="128" spans="1:12">
      <c r="A128" s="1">
        <v>44</v>
      </c>
      <c r="B128" t="s">
        <v>55</v>
      </c>
      <c r="C128" t="s">
        <v>200</v>
      </c>
      <c r="D128">
        <v>5201.01</v>
      </c>
      <c r="E128">
        <v>11</v>
      </c>
      <c r="F128">
        <v>1</v>
      </c>
      <c r="G128">
        <v>38</v>
      </c>
      <c r="H128">
        <v>113</v>
      </c>
      <c r="I128">
        <v>2.1149738223921891E-3</v>
      </c>
      <c r="J128">
        <v>1.92270347490199E-4</v>
      </c>
      <c r="K128">
        <v>7.3062732046275626E-3</v>
      </c>
      <c r="L128">
        <v>2.1726549266392489E-2</v>
      </c>
    </row>
    <row r="129" spans="1:12">
      <c r="A129" s="1">
        <v>82</v>
      </c>
      <c r="B129" t="s">
        <v>93</v>
      </c>
      <c r="C129" t="s">
        <v>238</v>
      </c>
      <c r="D129">
        <v>5385.76</v>
      </c>
      <c r="E129">
        <v>5</v>
      </c>
      <c r="F129">
        <v>1</v>
      </c>
      <c r="G129">
        <v>9</v>
      </c>
      <c r="H129">
        <v>27</v>
      </c>
      <c r="I129">
        <v>9.2837408276640618E-4</v>
      </c>
      <c r="J129">
        <v>1.8567481655328119E-4</v>
      </c>
      <c r="K129">
        <v>1.671073348979531E-3</v>
      </c>
      <c r="L129">
        <v>5.0132200469385933E-3</v>
      </c>
    </row>
    <row r="130" spans="1:12">
      <c r="A130" s="1">
        <v>10</v>
      </c>
      <c r="B130" t="s">
        <v>21</v>
      </c>
      <c r="C130" t="s">
        <v>166</v>
      </c>
      <c r="D130">
        <v>7902.38</v>
      </c>
      <c r="E130">
        <v>14</v>
      </c>
      <c r="F130">
        <v>1</v>
      </c>
      <c r="G130">
        <v>21</v>
      </c>
      <c r="H130">
        <v>54</v>
      </c>
      <c r="I130">
        <v>1.7716181707283121E-3</v>
      </c>
      <c r="J130">
        <v>1.265441550520223E-4</v>
      </c>
      <c r="K130">
        <v>2.6574272560924679E-3</v>
      </c>
      <c r="L130">
        <v>6.8333843728092042E-3</v>
      </c>
    </row>
    <row r="131" spans="1:12">
      <c r="A131" s="1">
        <v>55</v>
      </c>
      <c r="B131" t="s">
        <v>66</v>
      </c>
      <c r="C131" t="s">
        <v>211</v>
      </c>
      <c r="D131">
        <v>11095.55</v>
      </c>
      <c r="E131">
        <v>81</v>
      </c>
      <c r="F131">
        <v>1</v>
      </c>
      <c r="G131">
        <v>38</v>
      </c>
      <c r="H131">
        <v>74</v>
      </c>
      <c r="I131">
        <v>7.3002239636611082E-3</v>
      </c>
      <c r="J131">
        <v>9.0126221773593926E-5</v>
      </c>
      <c r="K131">
        <v>3.424796427396569E-3</v>
      </c>
      <c r="L131">
        <v>6.6693404112459507E-3</v>
      </c>
    </row>
    <row r="132" spans="1:12">
      <c r="A132" s="1">
        <v>137</v>
      </c>
      <c r="B132" t="s">
        <v>148</v>
      </c>
      <c r="C132" t="s">
        <v>293</v>
      </c>
      <c r="D132">
        <v>22.64</v>
      </c>
      <c r="E132">
        <v>1</v>
      </c>
      <c r="F132">
        <v>0</v>
      </c>
      <c r="G132">
        <v>0</v>
      </c>
      <c r="H132">
        <v>2</v>
      </c>
      <c r="I132">
        <v>4.4169611307420503E-2</v>
      </c>
      <c r="J132">
        <v>0</v>
      </c>
      <c r="K132">
        <v>0</v>
      </c>
      <c r="L132">
        <v>8.8339222614840993E-2</v>
      </c>
    </row>
    <row r="133" spans="1:12">
      <c r="A133" s="1">
        <v>67</v>
      </c>
      <c r="B133" t="s">
        <v>78</v>
      </c>
      <c r="C133" t="s">
        <v>223</v>
      </c>
      <c r="D133">
        <v>250.24</v>
      </c>
      <c r="E133">
        <v>1</v>
      </c>
      <c r="F133">
        <v>0</v>
      </c>
      <c r="G133">
        <v>3</v>
      </c>
      <c r="H133">
        <v>16</v>
      </c>
      <c r="I133">
        <v>3.9961636828644504E-3</v>
      </c>
      <c r="J133">
        <v>0</v>
      </c>
      <c r="K133">
        <v>1.198849104859335E-2</v>
      </c>
      <c r="L133">
        <v>6.3938618925831206E-2</v>
      </c>
    </row>
    <row r="134" spans="1:12">
      <c r="A134" s="1">
        <v>87</v>
      </c>
      <c r="B134" t="s">
        <v>98</v>
      </c>
      <c r="C134" t="s">
        <v>243</v>
      </c>
      <c r="D134">
        <v>426.31</v>
      </c>
      <c r="E134">
        <v>2</v>
      </c>
      <c r="F134">
        <v>0</v>
      </c>
      <c r="G134">
        <v>5</v>
      </c>
      <c r="H134">
        <v>19</v>
      </c>
      <c r="I134">
        <v>4.6914217353568998E-3</v>
      </c>
      <c r="J134">
        <v>0</v>
      </c>
      <c r="K134">
        <v>1.172855433839225E-2</v>
      </c>
      <c r="L134">
        <v>4.4568506485890551E-2</v>
      </c>
    </row>
    <row r="135" spans="1:12">
      <c r="A135" s="1">
        <v>42</v>
      </c>
      <c r="B135" t="s">
        <v>53</v>
      </c>
      <c r="C135" t="s">
        <v>198</v>
      </c>
      <c r="D135">
        <v>46.24</v>
      </c>
      <c r="E135">
        <v>0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4.3252595155709339E-2</v>
      </c>
    </row>
    <row r="136" spans="1:12">
      <c r="A136" s="1">
        <v>45</v>
      </c>
      <c r="B136" t="s">
        <v>56</v>
      </c>
      <c r="C136" t="s">
        <v>201</v>
      </c>
      <c r="D136">
        <v>741.58</v>
      </c>
      <c r="E136">
        <v>2</v>
      </c>
      <c r="F136">
        <v>0</v>
      </c>
      <c r="G136">
        <v>7</v>
      </c>
      <c r="H136">
        <v>23</v>
      </c>
      <c r="I136">
        <v>2.6969443620378109E-3</v>
      </c>
      <c r="J136">
        <v>0</v>
      </c>
      <c r="K136">
        <v>9.4393052671323391E-3</v>
      </c>
      <c r="L136">
        <v>3.101486016343483E-2</v>
      </c>
    </row>
    <row r="137" spans="1:12">
      <c r="A137" s="1">
        <v>18</v>
      </c>
      <c r="B137" t="s">
        <v>29</v>
      </c>
      <c r="C137" t="s">
        <v>174</v>
      </c>
      <c r="D137">
        <v>1800</v>
      </c>
      <c r="E137">
        <v>3</v>
      </c>
      <c r="F137">
        <v>0</v>
      </c>
      <c r="G137">
        <v>5</v>
      </c>
      <c r="H137">
        <v>36</v>
      </c>
      <c r="I137">
        <v>1.666666666666667E-3</v>
      </c>
      <c r="J137">
        <v>0</v>
      </c>
      <c r="K137">
        <v>2.7777777777777779E-3</v>
      </c>
      <c r="L137">
        <v>0.02</v>
      </c>
    </row>
    <row r="138" spans="1:12">
      <c r="A138" s="1">
        <v>134</v>
      </c>
      <c r="B138" t="s">
        <v>145</v>
      </c>
      <c r="C138" t="s">
        <v>290</v>
      </c>
      <c r="D138">
        <v>492.26</v>
      </c>
      <c r="E138">
        <v>3</v>
      </c>
      <c r="F138">
        <v>0</v>
      </c>
      <c r="G138">
        <v>4</v>
      </c>
      <c r="H138">
        <v>9</v>
      </c>
      <c r="I138">
        <v>6.0943403892252061E-3</v>
      </c>
      <c r="J138">
        <v>0</v>
      </c>
      <c r="K138">
        <v>8.1257871856336081E-3</v>
      </c>
      <c r="L138">
        <v>1.828302116767562E-2</v>
      </c>
    </row>
    <row r="139" spans="1:12">
      <c r="A139" s="1">
        <v>100</v>
      </c>
      <c r="B139" t="s">
        <v>111</v>
      </c>
      <c r="C139" t="s">
        <v>256</v>
      </c>
      <c r="D139">
        <v>242.19</v>
      </c>
      <c r="E139">
        <v>4</v>
      </c>
      <c r="F139">
        <v>0</v>
      </c>
      <c r="G139">
        <v>0</v>
      </c>
      <c r="H139">
        <v>3</v>
      </c>
      <c r="I139">
        <v>1.6515958544944049E-2</v>
      </c>
      <c r="J139">
        <v>0</v>
      </c>
      <c r="K139">
        <v>0</v>
      </c>
      <c r="L139">
        <v>1.2386968908708039E-2</v>
      </c>
    </row>
    <row r="140" spans="1:12">
      <c r="A140" s="1">
        <v>22</v>
      </c>
      <c r="B140" t="s">
        <v>33</v>
      </c>
      <c r="C140" t="s">
        <v>178</v>
      </c>
      <c r="D140">
        <v>316.5</v>
      </c>
      <c r="E140">
        <v>1</v>
      </c>
      <c r="F140">
        <v>0</v>
      </c>
      <c r="G140">
        <v>2</v>
      </c>
      <c r="H140">
        <v>3</v>
      </c>
      <c r="I140">
        <v>3.1595576619273301E-3</v>
      </c>
      <c r="J140">
        <v>0</v>
      </c>
      <c r="K140">
        <v>6.3191153238546603E-3</v>
      </c>
      <c r="L140">
        <v>9.4786729857819912E-3</v>
      </c>
    </row>
    <row r="141" spans="1:12">
      <c r="A141" s="1">
        <v>3</v>
      </c>
      <c r="B141" t="s">
        <v>14</v>
      </c>
      <c r="C141" t="s">
        <v>159</v>
      </c>
      <c r="D141">
        <v>111.51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8.9678055779750694E-3</v>
      </c>
    </row>
    <row r="142" spans="1:12">
      <c r="A142" s="1">
        <v>0</v>
      </c>
      <c r="B142" t="s">
        <v>11</v>
      </c>
      <c r="C142" t="s">
        <v>156</v>
      </c>
      <c r="D142">
        <v>567.11</v>
      </c>
      <c r="E142">
        <v>0</v>
      </c>
      <c r="F142">
        <v>0</v>
      </c>
      <c r="G142">
        <v>5</v>
      </c>
      <c r="H142">
        <v>3</v>
      </c>
      <c r="I142">
        <v>0</v>
      </c>
      <c r="J142">
        <v>0</v>
      </c>
      <c r="K142">
        <v>8.8166316940276133E-3</v>
      </c>
      <c r="L142">
        <v>5.289979016416568E-3</v>
      </c>
    </row>
    <row r="143" spans="1:12">
      <c r="A143" s="1">
        <v>8</v>
      </c>
      <c r="B143" t="s">
        <v>19</v>
      </c>
      <c r="C143" t="s">
        <v>164</v>
      </c>
      <c r="D143">
        <v>383.05</v>
      </c>
      <c r="E143">
        <v>1</v>
      </c>
      <c r="F143">
        <v>0</v>
      </c>
      <c r="G143">
        <v>0</v>
      </c>
      <c r="H143">
        <v>1</v>
      </c>
      <c r="I143">
        <v>2.6106252447461171E-3</v>
      </c>
      <c r="J143">
        <v>0</v>
      </c>
      <c r="K143">
        <v>0</v>
      </c>
      <c r="L143">
        <v>2.6106252447461171E-3</v>
      </c>
    </row>
    <row r="144" spans="1:12">
      <c r="A144" s="1">
        <v>2</v>
      </c>
      <c r="B144" t="s">
        <v>13</v>
      </c>
      <c r="C144" t="s">
        <v>158</v>
      </c>
      <c r="D144">
        <v>483.82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s="1">
        <v>4</v>
      </c>
      <c r="B145" t="s">
        <v>15</v>
      </c>
      <c r="C145" t="s">
        <v>160</v>
      </c>
      <c r="D145">
        <v>95.41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s="1">
        <v>38</v>
      </c>
      <c r="B146" t="s">
        <v>49</v>
      </c>
      <c r="C146" t="s">
        <v>194</v>
      </c>
      <c r="D146">
        <v>592.12</v>
      </c>
      <c r="E146">
        <v>5</v>
      </c>
      <c r="F146">
        <v>0</v>
      </c>
      <c r="G146">
        <v>0</v>
      </c>
      <c r="H146">
        <v>0</v>
      </c>
      <c r="I146">
        <v>8.4442342768357766E-3</v>
      </c>
      <c r="J146">
        <v>0</v>
      </c>
      <c r="K146">
        <v>0</v>
      </c>
      <c r="L146">
        <v>0</v>
      </c>
    </row>
    <row r="147" spans="1:12">
      <c r="A147" s="1">
        <v>78</v>
      </c>
      <c r="B147" t="s">
        <v>89</v>
      </c>
      <c r="C147" t="s">
        <v>234</v>
      </c>
      <c r="D147">
        <v>144.88999999999999</v>
      </c>
      <c r="E147">
        <v>1</v>
      </c>
      <c r="F147">
        <v>0</v>
      </c>
      <c r="G147">
        <v>1</v>
      </c>
      <c r="H147">
        <v>0</v>
      </c>
      <c r="I147">
        <v>6.9017875629788124E-3</v>
      </c>
      <c r="J147">
        <v>0</v>
      </c>
      <c r="K147">
        <v>6.9017875629788124E-3</v>
      </c>
      <c r="L147">
        <v>0</v>
      </c>
    </row>
  </sheetData>
  <sortState xmlns:xlrd2="http://schemas.microsoft.com/office/spreadsheetml/2017/richdata2" ref="A3:L147">
    <sortCondition descending="1" ref="J3:J147"/>
  </sortState>
  <phoneticPr fontId="2" type="noConversion"/>
  <conditionalFormatting sqref="I3:I147">
    <cfRule type="cellIs" dxfId="7" priority="4" operator="greaterThan">
      <formula>$I$1</formula>
    </cfRule>
  </conditionalFormatting>
  <conditionalFormatting sqref="J3:J147">
    <cfRule type="cellIs" dxfId="6" priority="3" operator="greaterThan">
      <formula>$J$1</formula>
    </cfRule>
  </conditionalFormatting>
  <conditionalFormatting sqref="K3:K147">
    <cfRule type="cellIs" dxfId="5" priority="2" operator="greaterThan">
      <formula>$K$1</formula>
    </cfRule>
  </conditionalFormatting>
  <conditionalFormatting sqref="L3:L147">
    <cfRule type="cellIs" dxfId="4" priority="1" operator="greaterThan">
      <formula>$L$1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53"/>
  <sheetViews>
    <sheetView workbookViewId="0">
      <selection activeCell="F54" sqref="F54"/>
    </sheetView>
  </sheetViews>
  <sheetFormatPr defaultColWidth="9.1796875" defaultRowHeight="17.25" customHeight="1"/>
  <cols>
    <col min="1" max="1" width="35.81640625" style="8" customWidth="1"/>
    <col min="2" max="2" width="6.81640625" style="48" customWidth="1"/>
    <col min="3" max="3" width="7.81640625" style="57" customWidth="1"/>
    <col min="4" max="4" width="8.54296875" style="66" customWidth="1"/>
    <col min="5" max="5" width="10.7265625" style="9" customWidth="1"/>
    <col min="6" max="6" width="6.26953125" style="9" customWidth="1"/>
    <col min="7" max="10" width="7.453125" style="9" customWidth="1"/>
    <col min="11" max="14" width="8.81640625" style="69" customWidth="1"/>
    <col min="15" max="15" width="9.26953125" style="32" customWidth="1"/>
    <col min="16" max="16" width="10.7265625" style="9" customWidth="1"/>
    <col min="17" max="16384" width="9.1796875" style="3"/>
  </cols>
  <sheetData>
    <row r="1" spans="1:22" s="23" customFormat="1" ht="80.25" customHeight="1">
      <c r="A1" s="5" t="s">
        <v>327</v>
      </c>
      <c r="B1" s="40" t="s">
        <v>317</v>
      </c>
      <c r="C1" s="49" t="s">
        <v>333</v>
      </c>
      <c r="D1" s="58" t="s">
        <v>343</v>
      </c>
      <c r="E1" s="5" t="s">
        <v>334</v>
      </c>
      <c r="F1" s="5" t="s">
        <v>301</v>
      </c>
      <c r="G1" s="5" t="s">
        <v>335</v>
      </c>
      <c r="H1" s="5" t="s">
        <v>336</v>
      </c>
      <c r="I1" s="5" t="s">
        <v>337</v>
      </c>
      <c r="J1" s="5" t="s">
        <v>338</v>
      </c>
      <c r="K1" s="67" t="s">
        <v>339</v>
      </c>
      <c r="L1" s="67" t="s">
        <v>340</v>
      </c>
      <c r="M1" s="67" t="s">
        <v>341</v>
      </c>
      <c r="N1" s="67" t="s">
        <v>342</v>
      </c>
      <c r="O1" s="31" t="s">
        <v>330</v>
      </c>
      <c r="P1" s="5" t="s">
        <v>326</v>
      </c>
      <c r="R1" s="2" t="s">
        <v>329</v>
      </c>
      <c r="S1" s="5" t="s">
        <v>7</v>
      </c>
      <c r="T1" s="5" t="s">
        <v>8</v>
      </c>
      <c r="U1" s="5" t="s">
        <v>9</v>
      </c>
      <c r="V1" s="5" t="s">
        <v>10</v>
      </c>
    </row>
    <row r="2" spans="1:22" ht="17.25" customHeight="1">
      <c r="A2" s="12" t="s">
        <v>325</v>
      </c>
      <c r="B2" s="41">
        <v>0.12492481557605935</v>
      </c>
      <c r="C2" s="50">
        <v>413.48605940976427</v>
      </c>
      <c r="D2" s="59">
        <v>9321.7000000000007</v>
      </c>
      <c r="E2" s="13">
        <f t="shared" ref="E2:E33" si="0">C2*D2</f>
        <v>3854393</v>
      </c>
      <c r="F2" s="13" t="s">
        <v>302</v>
      </c>
      <c r="G2" s="7">
        <v>335</v>
      </c>
      <c r="H2" s="7">
        <v>116</v>
      </c>
      <c r="I2" s="7">
        <v>62</v>
      </c>
      <c r="J2" s="7">
        <v>79</v>
      </c>
      <c r="K2" s="68">
        <v>3.5937650857676168E-2</v>
      </c>
      <c r="L2" s="68">
        <v>1.244408208803115E-2</v>
      </c>
      <c r="M2" s="68">
        <v>6.6511473229132019E-3</v>
      </c>
      <c r="N2" s="68">
        <v>8.4748490082281122E-3</v>
      </c>
      <c r="O2" s="25"/>
      <c r="P2" s="33" t="s">
        <v>332</v>
      </c>
      <c r="R2" s="24" t="s">
        <v>328</v>
      </c>
      <c r="S2" s="4">
        <f>MEDIAN(K2:K53)</f>
        <v>1.464610917601715E-2</v>
      </c>
      <c r="T2" s="4">
        <f t="shared" ref="T2:V2" si="1">MEDIAN(L2:L53)</f>
        <v>6.1799999951010591E-3</v>
      </c>
      <c r="U2" s="4">
        <f t="shared" si="1"/>
        <v>5.173911318722693E-3</v>
      </c>
      <c r="V2" s="4">
        <f t="shared" si="1"/>
        <v>1.2816513343582785E-2</v>
      </c>
    </row>
    <row r="3" spans="1:22" ht="17.25" customHeight="1">
      <c r="A3" s="12" t="s">
        <v>248</v>
      </c>
      <c r="B3" s="41">
        <v>0.32476376711369859</v>
      </c>
      <c r="C3" s="50">
        <v>129.40462840331534</v>
      </c>
      <c r="D3" s="59">
        <v>24629.66</v>
      </c>
      <c r="E3" s="13">
        <f t="shared" si="0"/>
        <v>3187191.9999999995</v>
      </c>
      <c r="F3" s="13" t="s">
        <v>302</v>
      </c>
      <c r="G3" s="7">
        <v>199</v>
      </c>
      <c r="H3" s="7">
        <v>135</v>
      </c>
      <c r="I3" s="7">
        <v>152</v>
      </c>
      <c r="J3" s="7">
        <v>287</v>
      </c>
      <c r="K3" s="68">
        <v>8.0796892851951671E-3</v>
      </c>
      <c r="L3" s="68">
        <v>5.4811962487504914E-3</v>
      </c>
      <c r="M3" s="68">
        <v>6.1714209615561077E-3</v>
      </c>
      <c r="N3" s="68">
        <v>1.1652617210306601E-2</v>
      </c>
      <c r="O3" s="25"/>
      <c r="P3" s="7"/>
    </row>
    <row r="4" spans="1:22" ht="17.25" customHeight="1">
      <c r="A4" s="12" t="s">
        <v>266</v>
      </c>
      <c r="B4" s="41">
        <v>0.25941572540399555</v>
      </c>
      <c r="C4" s="50">
        <v>177.69335474998556</v>
      </c>
      <c r="D4" s="59">
        <v>12812.46</v>
      </c>
      <c r="E4" s="13">
        <f t="shared" si="0"/>
        <v>2276689</v>
      </c>
      <c r="F4" s="13" t="s">
        <v>302</v>
      </c>
      <c r="G4" s="7">
        <v>174</v>
      </c>
      <c r="H4" s="7">
        <v>44</v>
      </c>
      <c r="I4" s="7">
        <v>82</v>
      </c>
      <c r="J4" s="7">
        <v>238</v>
      </c>
      <c r="K4" s="68">
        <v>1.3580530202630879E-2</v>
      </c>
      <c r="L4" s="68">
        <v>3.4341570627342451E-3</v>
      </c>
      <c r="M4" s="68">
        <v>6.4000199805501834E-3</v>
      </c>
      <c r="N4" s="68">
        <v>1.8575667748426141E-2</v>
      </c>
      <c r="O4" s="25">
        <v>3</v>
      </c>
      <c r="P4" s="7"/>
    </row>
    <row r="5" spans="1:22" ht="17.25" customHeight="1">
      <c r="A5" s="12" t="s">
        <v>247</v>
      </c>
      <c r="B5" s="41">
        <v>0.33290310398376971</v>
      </c>
      <c r="C5" s="50">
        <v>124.69176131821675</v>
      </c>
      <c r="D5" s="59">
        <v>11571.39</v>
      </c>
      <c r="E5" s="13">
        <f t="shared" si="0"/>
        <v>1442857</v>
      </c>
      <c r="F5" s="13" t="s">
        <v>302</v>
      </c>
      <c r="G5" s="7">
        <v>102</v>
      </c>
      <c r="H5" s="7">
        <v>40</v>
      </c>
      <c r="I5" s="7">
        <v>40</v>
      </c>
      <c r="J5" s="7">
        <v>147</v>
      </c>
      <c r="K5" s="68">
        <v>8.8148441976288079E-3</v>
      </c>
      <c r="L5" s="68">
        <v>3.456801646128944E-3</v>
      </c>
      <c r="M5" s="68">
        <v>3.456801646128944E-3</v>
      </c>
      <c r="N5" s="68">
        <v>1.270374604952387E-2</v>
      </c>
      <c r="O5" s="25"/>
      <c r="P5" s="7"/>
    </row>
    <row r="6" spans="1:22" ht="17.25" customHeight="1">
      <c r="A6" s="12" t="s">
        <v>241</v>
      </c>
      <c r="B6" s="41">
        <v>0.3122527182201586</v>
      </c>
      <c r="C6" s="50">
        <v>112.72723894041022</v>
      </c>
      <c r="D6" s="59">
        <v>9686.39</v>
      </c>
      <c r="E6" s="13">
        <f t="shared" si="0"/>
        <v>1091920</v>
      </c>
      <c r="F6" s="13" t="s">
        <v>305</v>
      </c>
      <c r="G6" s="7">
        <v>75</v>
      </c>
      <c r="H6" s="7">
        <v>9</v>
      </c>
      <c r="I6" s="7">
        <v>39</v>
      </c>
      <c r="J6" s="7">
        <v>38</v>
      </c>
      <c r="K6" s="68">
        <v>7.7428226614868912E-3</v>
      </c>
      <c r="L6" s="68">
        <v>9.2913871937842687E-4</v>
      </c>
      <c r="M6" s="68">
        <v>4.0262677839731833E-3</v>
      </c>
      <c r="N6" s="68">
        <v>3.9230301484866918E-3</v>
      </c>
      <c r="O6" s="25"/>
      <c r="P6" s="7"/>
    </row>
    <row r="7" spans="1:22" ht="17.25" customHeight="1">
      <c r="A7" s="34" t="s">
        <v>281</v>
      </c>
      <c r="B7" s="41">
        <v>0.35878718537634857</v>
      </c>
      <c r="C7" s="50">
        <v>218.60190235494863</v>
      </c>
      <c r="D7" s="59">
        <v>4653.18</v>
      </c>
      <c r="E7" s="13">
        <f t="shared" si="0"/>
        <v>1017194</v>
      </c>
      <c r="F7" s="13" t="s">
        <v>302</v>
      </c>
      <c r="G7" s="7">
        <v>68</v>
      </c>
      <c r="H7" s="7">
        <v>31</v>
      </c>
      <c r="I7" s="7">
        <v>47</v>
      </c>
      <c r="J7" s="7">
        <v>117</v>
      </c>
      <c r="K7" s="68">
        <v>1.461366205476685E-2</v>
      </c>
      <c r="L7" s="68">
        <v>6.6621106426142966E-3</v>
      </c>
      <c r="M7" s="68">
        <v>1.010061936138297E-2</v>
      </c>
      <c r="N7" s="68">
        <v>2.51440950059959E-2</v>
      </c>
      <c r="O7" s="25">
        <v>2</v>
      </c>
      <c r="P7" s="7"/>
    </row>
    <row r="8" spans="1:22" ht="17.25" customHeight="1">
      <c r="A8" s="12" t="s">
        <v>253</v>
      </c>
      <c r="B8" s="41">
        <v>0.33060144465853025</v>
      </c>
      <c r="C8" s="50">
        <v>142.48155150739106</v>
      </c>
      <c r="D8" s="59">
        <v>5997.78</v>
      </c>
      <c r="E8" s="13">
        <f t="shared" si="0"/>
        <v>854572.99999999988</v>
      </c>
      <c r="F8" s="13" t="s">
        <v>302</v>
      </c>
      <c r="G8" s="7">
        <v>48</v>
      </c>
      <c r="H8" s="7">
        <v>32</v>
      </c>
      <c r="I8" s="7">
        <v>31</v>
      </c>
      <c r="J8" s="7">
        <v>99</v>
      </c>
      <c r="K8" s="68">
        <v>8.0029610956053737E-3</v>
      </c>
      <c r="L8" s="68">
        <v>5.3353073970702491E-3</v>
      </c>
      <c r="M8" s="68">
        <v>5.1685790409118039E-3</v>
      </c>
      <c r="N8" s="68">
        <v>1.6506107259686081E-2</v>
      </c>
      <c r="O8" s="25"/>
      <c r="P8" s="7"/>
    </row>
    <row r="9" spans="1:22" ht="17.25" customHeight="1">
      <c r="A9" s="12" t="s">
        <v>246</v>
      </c>
      <c r="B9" s="41">
        <v>0.35971706604670928</v>
      </c>
      <c r="C9" s="50">
        <v>123.3862584129978</v>
      </c>
      <c r="D9" s="59">
        <v>3732.32</v>
      </c>
      <c r="E9" s="13">
        <f t="shared" si="0"/>
        <v>460517</v>
      </c>
      <c r="F9" s="13" t="s">
        <v>305</v>
      </c>
      <c r="G9" s="7">
        <v>28</v>
      </c>
      <c r="H9" s="7">
        <v>19</v>
      </c>
      <c r="I9" s="7">
        <v>17</v>
      </c>
      <c r="J9" s="7">
        <v>56</v>
      </c>
      <c r="K9" s="68">
        <v>7.5020362669867531E-3</v>
      </c>
      <c r="L9" s="68">
        <v>5.0906674668838676E-3</v>
      </c>
      <c r="M9" s="68">
        <v>4.5548077335276719E-3</v>
      </c>
      <c r="N9" s="68">
        <v>1.500407253397351E-2</v>
      </c>
      <c r="O9" s="25"/>
      <c r="P9" s="7"/>
    </row>
    <row r="10" spans="1:22" ht="17.25" customHeight="1">
      <c r="A10" s="12" t="s">
        <v>303</v>
      </c>
      <c r="B10" s="41">
        <v>0.27244457021980883</v>
      </c>
      <c r="C10" s="50">
        <v>185.02542013839852</v>
      </c>
      <c r="D10" s="59">
        <v>1416.2</v>
      </c>
      <c r="E10" s="13">
        <f t="shared" si="0"/>
        <v>262033</v>
      </c>
      <c r="F10" s="13" t="s">
        <v>302</v>
      </c>
      <c r="G10" s="7">
        <v>47</v>
      </c>
      <c r="H10" s="7">
        <v>32</v>
      </c>
      <c r="I10" s="7">
        <v>24</v>
      </c>
      <c r="J10" s="7">
        <v>51</v>
      </c>
      <c r="K10" s="68">
        <v>3.3187402909193607E-2</v>
      </c>
      <c r="L10" s="68">
        <v>2.2595678576472249E-2</v>
      </c>
      <c r="M10" s="68">
        <v>1.694675893235419E-2</v>
      </c>
      <c r="N10" s="68">
        <v>3.6011862731252647E-2</v>
      </c>
      <c r="O10" s="25">
        <v>1</v>
      </c>
      <c r="P10" s="7"/>
    </row>
    <row r="11" spans="1:22" ht="17.25" customHeight="1">
      <c r="A11" s="12" t="s">
        <v>304</v>
      </c>
      <c r="B11" s="41">
        <v>0.37143190130312759</v>
      </c>
      <c r="C11" s="50">
        <v>144.79164179104478</v>
      </c>
      <c r="D11" s="59">
        <v>1675</v>
      </c>
      <c r="E11" s="13">
        <f t="shared" si="0"/>
        <v>242526</v>
      </c>
      <c r="F11" s="13" t="s">
        <v>302</v>
      </c>
      <c r="G11" s="7">
        <v>11</v>
      </c>
      <c r="H11" s="7">
        <v>7</v>
      </c>
      <c r="I11" s="7">
        <v>12</v>
      </c>
      <c r="J11" s="7">
        <v>22</v>
      </c>
      <c r="K11" s="68">
        <v>6.5671641791044772E-3</v>
      </c>
      <c r="L11" s="68">
        <v>4.1791044776119399E-3</v>
      </c>
      <c r="M11" s="68">
        <v>7.164179104477612E-3</v>
      </c>
      <c r="N11" s="68">
        <v>1.3134328358208949E-2</v>
      </c>
      <c r="O11" s="25"/>
      <c r="P11" s="7"/>
    </row>
    <row r="12" spans="1:22" ht="17.25" customHeight="1">
      <c r="A12" s="35" t="s">
        <v>274</v>
      </c>
      <c r="B12" s="42">
        <v>0.36500117616174482</v>
      </c>
      <c r="C12" s="51">
        <v>187.37403531175394</v>
      </c>
      <c r="D12" s="60">
        <v>28817.599999999999</v>
      </c>
      <c r="E12" s="11">
        <f t="shared" si="0"/>
        <v>5399670</v>
      </c>
      <c r="F12" s="11" t="s">
        <v>306</v>
      </c>
      <c r="G12" s="7">
        <v>392</v>
      </c>
      <c r="H12" s="7">
        <v>82</v>
      </c>
      <c r="I12" s="7">
        <v>174</v>
      </c>
      <c r="J12" s="7">
        <v>373</v>
      </c>
      <c r="K12" s="68">
        <v>1.360279828993393E-2</v>
      </c>
      <c r="L12" s="68">
        <v>2.8454833157514859E-3</v>
      </c>
      <c r="M12" s="68">
        <v>6.037976791960469E-3</v>
      </c>
      <c r="N12" s="68">
        <v>1.294347898506468E-2</v>
      </c>
      <c r="O12" s="26">
        <v>2</v>
      </c>
      <c r="P12" s="7"/>
    </row>
    <row r="13" spans="1:22" ht="17.25" customHeight="1">
      <c r="A13" s="10" t="s">
        <v>307</v>
      </c>
      <c r="B13" s="42">
        <v>0.19799126551989207</v>
      </c>
      <c r="C13" s="51">
        <v>165.43383184750189</v>
      </c>
      <c r="D13" s="60">
        <v>8512.6299999999992</v>
      </c>
      <c r="E13" s="11">
        <f t="shared" si="0"/>
        <v>1408277</v>
      </c>
      <c r="F13" s="11" t="s">
        <v>306</v>
      </c>
      <c r="G13" s="7">
        <v>124</v>
      </c>
      <c r="H13" s="7">
        <v>48</v>
      </c>
      <c r="I13" s="7">
        <v>34</v>
      </c>
      <c r="J13" s="7">
        <v>70</v>
      </c>
      <c r="K13" s="68">
        <v>1.4566591053528701E-2</v>
      </c>
      <c r="L13" s="68">
        <v>5.6386804078175611E-3</v>
      </c>
      <c r="M13" s="68">
        <v>3.9940652888707734E-3</v>
      </c>
      <c r="N13" s="68">
        <v>8.2230755947339425E-3</v>
      </c>
      <c r="O13" s="26"/>
      <c r="P13" s="7"/>
    </row>
    <row r="14" spans="1:22" ht="17.25" customHeight="1">
      <c r="A14" s="10" t="s">
        <v>258</v>
      </c>
      <c r="B14" s="42">
        <v>0.22465404207912459</v>
      </c>
      <c r="C14" s="51">
        <v>154.93546365473583</v>
      </c>
      <c r="D14" s="60">
        <v>2840.26</v>
      </c>
      <c r="E14" s="11">
        <f t="shared" si="0"/>
        <v>440057</v>
      </c>
      <c r="F14" s="11" t="s">
        <v>306</v>
      </c>
      <c r="G14" s="7">
        <v>63</v>
      </c>
      <c r="H14" s="7">
        <v>33</v>
      </c>
      <c r="I14" s="7">
        <v>26</v>
      </c>
      <c r="J14" s="7">
        <v>50</v>
      </c>
      <c r="K14" s="68">
        <v>2.2181067930400741E-2</v>
      </c>
      <c r="L14" s="68">
        <v>1.1618654630209909E-2</v>
      </c>
      <c r="M14" s="68">
        <v>9.1540915268320498E-3</v>
      </c>
      <c r="N14" s="68">
        <v>1.7604022166984711E-2</v>
      </c>
      <c r="O14" s="26">
        <v>1</v>
      </c>
      <c r="P14" s="7"/>
    </row>
    <row r="15" spans="1:22" ht="17.25" customHeight="1">
      <c r="A15" s="10" t="s">
        <v>237</v>
      </c>
      <c r="B15" s="42">
        <v>0.11660244511019845</v>
      </c>
      <c r="C15" s="51">
        <v>102.23746120732807</v>
      </c>
      <c r="D15" s="60">
        <v>199.78</v>
      </c>
      <c r="E15" s="11">
        <f t="shared" si="0"/>
        <v>20425</v>
      </c>
      <c r="F15" s="11" t="s">
        <v>306</v>
      </c>
      <c r="G15" s="7">
        <v>2</v>
      </c>
      <c r="H15" s="7">
        <v>1</v>
      </c>
      <c r="I15" s="7">
        <v>0</v>
      </c>
      <c r="J15" s="7">
        <v>2</v>
      </c>
      <c r="K15" s="68">
        <v>1.001101211332466E-2</v>
      </c>
      <c r="L15" s="68">
        <v>5.0055060566623283E-3</v>
      </c>
      <c r="M15" s="68">
        <v>0</v>
      </c>
      <c r="N15" s="68">
        <v>1.001101211332466E-2</v>
      </c>
      <c r="O15" s="26"/>
      <c r="P15" s="7"/>
    </row>
    <row r="16" spans="1:22" ht="17.25" customHeight="1">
      <c r="A16" s="6" t="s">
        <v>270</v>
      </c>
      <c r="B16" s="43">
        <v>7.4493811425425105E-2</v>
      </c>
      <c r="C16" s="52">
        <v>182.81479342621333</v>
      </c>
      <c r="D16" s="61">
        <v>35325.15</v>
      </c>
      <c r="E16" s="7">
        <f t="shared" si="0"/>
        <v>6457960</v>
      </c>
      <c r="F16" s="7" t="s">
        <v>309</v>
      </c>
      <c r="G16" s="7">
        <v>178</v>
      </c>
      <c r="H16" s="7">
        <v>770</v>
      </c>
      <c r="I16" s="7">
        <v>822</v>
      </c>
      <c r="J16" s="7">
        <v>0</v>
      </c>
      <c r="K16" s="68">
        <v>5.0389028779778706E-3</v>
      </c>
      <c r="L16" s="68">
        <v>2.17975012137245E-2</v>
      </c>
      <c r="M16" s="68">
        <v>2.3269540256729272E-2</v>
      </c>
      <c r="N16" s="68">
        <v>0</v>
      </c>
      <c r="O16" s="22"/>
      <c r="P16" s="7"/>
    </row>
    <row r="17" spans="1:16" ht="17.25" customHeight="1">
      <c r="A17" s="36" t="s">
        <v>299</v>
      </c>
      <c r="B17" s="43">
        <v>5.4674395576972644E-2</v>
      </c>
      <c r="C17" s="52">
        <v>670.28072997570712</v>
      </c>
      <c r="D17" s="61">
        <v>4886.1899999999996</v>
      </c>
      <c r="E17" s="7">
        <f t="shared" si="0"/>
        <v>3275119</v>
      </c>
      <c r="F17" s="7" t="s">
        <v>308</v>
      </c>
      <c r="G17" s="7">
        <v>351</v>
      </c>
      <c r="H17" s="7">
        <v>36</v>
      </c>
      <c r="I17" s="7">
        <v>34</v>
      </c>
      <c r="J17" s="7">
        <v>52</v>
      </c>
      <c r="K17" s="68">
        <v>7.1835110791843959E-2</v>
      </c>
      <c r="L17" s="68">
        <v>7.3677036709583546E-3</v>
      </c>
      <c r="M17" s="68">
        <v>6.958386800349557E-3</v>
      </c>
      <c r="N17" s="68">
        <v>1.064223863582874E-2</v>
      </c>
      <c r="O17" s="22">
        <v>2</v>
      </c>
      <c r="P17" s="7"/>
    </row>
    <row r="18" spans="1:16" ht="17.25" customHeight="1">
      <c r="A18" s="6" t="s">
        <v>257</v>
      </c>
      <c r="B18" s="43">
        <v>0.12265332705080952</v>
      </c>
      <c r="C18" s="52">
        <v>154.84468512508431</v>
      </c>
      <c r="D18" s="61">
        <v>19245.419999999998</v>
      </c>
      <c r="E18" s="7">
        <f t="shared" si="0"/>
        <v>2980051</v>
      </c>
      <c r="F18" s="7" t="s">
        <v>308</v>
      </c>
      <c r="G18" s="7">
        <v>241</v>
      </c>
      <c r="H18" s="7">
        <v>144</v>
      </c>
      <c r="I18" s="7">
        <v>46</v>
      </c>
      <c r="J18" s="7">
        <v>115</v>
      </c>
      <c r="K18" s="68">
        <v>1.2522459889158051E-2</v>
      </c>
      <c r="L18" s="68">
        <v>7.4822996848081264E-3</v>
      </c>
      <c r="M18" s="68">
        <v>2.390179065980374E-3</v>
      </c>
      <c r="N18" s="68">
        <v>5.9754476649509346E-3</v>
      </c>
      <c r="O18" s="22"/>
      <c r="P18" s="7"/>
    </row>
    <row r="19" spans="1:16" ht="17.25" customHeight="1">
      <c r="A19" s="6" t="s">
        <v>331</v>
      </c>
      <c r="B19" s="43">
        <v>0.32034965915967112</v>
      </c>
      <c r="C19" s="52">
        <v>230.10684202983933</v>
      </c>
      <c r="D19" s="61">
        <v>6280.3</v>
      </c>
      <c r="E19" s="7">
        <f t="shared" si="0"/>
        <v>1445140</v>
      </c>
      <c r="F19" s="7" t="s">
        <v>309</v>
      </c>
      <c r="G19" s="7">
        <v>83</v>
      </c>
      <c r="H19" s="7">
        <v>75</v>
      </c>
      <c r="I19" s="7">
        <v>52</v>
      </c>
      <c r="J19" s="7">
        <v>122</v>
      </c>
      <c r="K19" s="68">
        <v>1.321592917535786E-2</v>
      </c>
      <c r="L19" s="68">
        <v>1.194210467652819E-2</v>
      </c>
      <c r="M19" s="68">
        <v>8.2798592423928789E-3</v>
      </c>
      <c r="N19" s="68">
        <v>1.9425823607152521E-2</v>
      </c>
      <c r="O19" s="22">
        <v>3</v>
      </c>
      <c r="P19" s="7"/>
    </row>
    <row r="20" spans="1:16" ht="17.25" customHeight="1">
      <c r="A20" s="6" t="s">
        <v>265</v>
      </c>
      <c r="B20" s="43">
        <v>0.2670309213975674</v>
      </c>
      <c r="C20" s="52">
        <v>174.09780124263594</v>
      </c>
      <c r="D20" s="61">
        <v>5591.34</v>
      </c>
      <c r="E20" s="7">
        <f t="shared" si="0"/>
        <v>973440</v>
      </c>
      <c r="F20" s="7" t="s">
        <v>309</v>
      </c>
      <c r="G20" s="7">
        <v>86</v>
      </c>
      <c r="H20" s="7">
        <v>22</v>
      </c>
      <c r="I20" s="7">
        <v>25</v>
      </c>
      <c r="J20" s="7">
        <v>101</v>
      </c>
      <c r="K20" s="68">
        <v>1.538092836422038E-2</v>
      </c>
      <c r="L20" s="68">
        <v>3.9346560931726561E-3</v>
      </c>
      <c r="M20" s="68">
        <v>4.471200105878018E-3</v>
      </c>
      <c r="N20" s="68">
        <v>1.806364842774719E-2</v>
      </c>
      <c r="O20" s="22"/>
      <c r="P20" s="7"/>
    </row>
    <row r="21" spans="1:16" ht="17.25" customHeight="1">
      <c r="A21" s="6" t="s">
        <v>295</v>
      </c>
      <c r="B21" s="43">
        <v>0.27977164792037545</v>
      </c>
      <c r="C21" s="52">
        <v>365.49161180717772</v>
      </c>
      <c r="D21" s="61">
        <v>847.62</v>
      </c>
      <c r="E21" s="7">
        <f t="shared" si="0"/>
        <v>309798</v>
      </c>
      <c r="F21" s="7" t="s">
        <v>308</v>
      </c>
      <c r="G21" s="7">
        <v>17</v>
      </c>
      <c r="H21" s="7">
        <v>10</v>
      </c>
      <c r="I21" s="7">
        <v>19</v>
      </c>
      <c r="J21" s="7">
        <v>12</v>
      </c>
      <c r="K21" s="68">
        <v>2.0056157240272768E-2</v>
      </c>
      <c r="L21" s="68">
        <v>1.179773955310163E-2</v>
      </c>
      <c r="M21" s="68">
        <v>2.2415705150893091E-2</v>
      </c>
      <c r="N21" s="68">
        <v>1.4157287463721951E-2</v>
      </c>
      <c r="O21" s="22">
        <v>1</v>
      </c>
      <c r="P21" s="7"/>
    </row>
    <row r="22" spans="1:16" ht="17.25" customHeight="1">
      <c r="A22" s="16" t="s">
        <v>285</v>
      </c>
      <c r="B22" s="44">
        <v>0.14676728012415377</v>
      </c>
      <c r="C22" s="53">
        <v>260.47948876034195</v>
      </c>
      <c r="D22" s="62">
        <v>26292.17</v>
      </c>
      <c r="E22" s="17">
        <f t="shared" si="0"/>
        <v>6848570.9999999991</v>
      </c>
      <c r="F22" s="17" t="s">
        <v>310</v>
      </c>
      <c r="G22" s="7">
        <v>597</v>
      </c>
      <c r="H22" s="7">
        <v>165</v>
      </c>
      <c r="I22" s="7">
        <v>131</v>
      </c>
      <c r="J22" s="7">
        <v>226</v>
      </c>
      <c r="K22" s="68">
        <v>2.270637988420127E-2</v>
      </c>
      <c r="L22" s="68">
        <v>6.2756326313119079E-3</v>
      </c>
      <c r="M22" s="68">
        <v>4.9824719678900602E-3</v>
      </c>
      <c r="N22" s="68">
        <v>8.5957149980393412E-3</v>
      </c>
      <c r="O22" s="27"/>
      <c r="P22" s="7"/>
    </row>
    <row r="23" spans="1:16" ht="17.25" customHeight="1">
      <c r="A23" s="37" t="s">
        <v>292</v>
      </c>
      <c r="B23" s="44">
        <v>0.21570502404159159</v>
      </c>
      <c r="C23" s="53">
        <v>325.33075992875479</v>
      </c>
      <c r="D23" s="62">
        <v>20144.52</v>
      </c>
      <c r="E23" s="17">
        <f t="shared" si="0"/>
        <v>6553631.9999999991</v>
      </c>
      <c r="F23" s="17" t="s">
        <v>310</v>
      </c>
      <c r="G23" s="7">
        <v>528</v>
      </c>
      <c r="H23" s="7">
        <v>202</v>
      </c>
      <c r="I23" s="7">
        <v>187</v>
      </c>
      <c r="J23" s="7">
        <v>348</v>
      </c>
      <c r="K23" s="68">
        <v>2.6210602188585279E-2</v>
      </c>
      <c r="L23" s="68">
        <v>1.002754098881482E-2</v>
      </c>
      <c r="M23" s="68">
        <v>9.2829216084572876E-3</v>
      </c>
      <c r="N23" s="68">
        <v>1.7275169624294841E-2</v>
      </c>
      <c r="O23" s="27">
        <v>1</v>
      </c>
      <c r="P23" s="7"/>
    </row>
    <row r="24" spans="1:16" ht="17.25" customHeight="1">
      <c r="A24" s="37" t="s">
        <v>287</v>
      </c>
      <c r="B24" s="44">
        <v>0.16019181452976708</v>
      </c>
      <c r="C24" s="53">
        <v>273.04070050105003</v>
      </c>
      <c r="D24" s="62">
        <v>5985.43</v>
      </c>
      <c r="E24" s="17">
        <f t="shared" si="0"/>
        <v>1634266</v>
      </c>
      <c r="F24" s="17" t="s">
        <v>311</v>
      </c>
      <c r="G24" s="7">
        <v>134</v>
      </c>
      <c r="H24" s="7">
        <v>92</v>
      </c>
      <c r="I24" s="7">
        <v>31</v>
      </c>
      <c r="J24" s="7">
        <v>89</v>
      </c>
      <c r="K24" s="68">
        <v>2.238769812695161E-2</v>
      </c>
      <c r="L24" s="68">
        <v>1.5370658415519021E-2</v>
      </c>
      <c r="M24" s="68">
        <v>5.1792435965335821E-3</v>
      </c>
      <c r="N24" s="68">
        <v>1.4869441293273829E-2</v>
      </c>
      <c r="O24" s="27">
        <v>2</v>
      </c>
      <c r="P24" s="7"/>
    </row>
    <row r="25" spans="1:16" ht="17.25" customHeight="1">
      <c r="A25" s="16" t="s">
        <v>286</v>
      </c>
      <c r="B25" s="44">
        <v>0.21366743356658149</v>
      </c>
      <c r="C25" s="53">
        <v>271.23720959971871</v>
      </c>
      <c r="D25" s="62">
        <v>5004.7299999999996</v>
      </c>
      <c r="E25" s="17">
        <f t="shared" si="0"/>
        <v>1357469</v>
      </c>
      <c r="F25" s="17" t="s">
        <v>310</v>
      </c>
      <c r="G25" s="7">
        <v>106</v>
      </c>
      <c r="H25" s="7">
        <v>60</v>
      </c>
      <c r="I25" s="7">
        <v>27</v>
      </c>
      <c r="J25" s="7">
        <v>63</v>
      </c>
      <c r="K25" s="68">
        <v>2.117996375428844E-2</v>
      </c>
      <c r="L25" s="68">
        <v>1.198865872884252E-2</v>
      </c>
      <c r="M25" s="68">
        <v>5.3948964279791319E-3</v>
      </c>
      <c r="N25" s="68">
        <v>1.2588091665284641E-2</v>
      </c>
      <c r="O25" s="27">
        <v>3</v>
      </c>
      <c r="P25" s="7"/>
    </row>
    <row r="26" spans="1:16" ht="17.25" customHeight="1">
      <c r="A26" s="16" t="s">
        <v>262</v>
      </c>
      <c r="B26" s="44">
        <v>0.33907194242117755</v>
      </c>
      <c r="C26" s="53">
        <v>168.77876800975181</v>
      </c>
      <c r="D26" s="62">
        <v>6776.19</v>
      </c>
      <c r="E26" s="17">
        <f t="shared" si="0"/>
        <v>1143677</v>
      </c>
      <c r="F26" s="17" t="s">
        <v>310</v>
      </c>
      <c r="G26" s="7">
        <v>48</v>
      </c>
      <c r="H26" s="7">
        <v>32</v>
      </c>
      <c r="I26" s="7">
        <v>31</v>
      </c>
      <c r="J26" s="7">
        <v>99</v>
      </c>
      <c r="K26" s="68">
        <v>8.0029610956053737E-3</v>
      </c>
      <c r="L26" s="68">
        <v>5.3353073970702491E-3</v>
      </c>
      <c r="M26" s="68">
        <v>5.1685790409118039E-3</v>
      </c>
      <c r="N26" s="68">
        <v>1.6506107259686081E-2</v>
      </c>
      <c r="O26" s="27"/>
      <c r="P26" s="7"/>
    </row>
    <row r="27" spans="1:16" ht="17.25" customHeight="1">
      <c r="A27" s="16" t="s">
        <v>277</v>
      </c>
      <c r="B27" s="44">
        <v>0.30659254031488808</v>
      </c>
      <c r="C27" s="53">
        <v>206.61973178512008</v>
      </c>
      <c r="D27" s="62">
        <v>4285.37</v>
      </c>
      <c r="E27" s="17">
        <f t="shared" si="0"/>
        <v>885442</v>
      </c>
      <c r="F27" s="17" t="s">
        <v>310</v>
      </c>
      <c r="G27" s="7">
        <v>79</v>
      </c>
      <c r="H27" s="7">
        <v>19</v>
      </c>
      <c r="I27" s="7">
        <v>30</v>
      </c>
      <c r="J27" s="7">
        <v>63</v>
      </c>
      <c r="K27" s="68">
        <v>1.843481426341249E-2</v>
      </c>
      <c r="L27" s="68">
        <v>4.4336895063903474E-3</v>
      </c>
      <c r="M27" s="68">
        <v>7.0005623785110742E-3</v>
      </c>
      <c r="N27" s="68">
        <v>1.4701180994873249E-2</v>
      </c>
      <c r="O27" s="27"/>
      <c r="P27" s="7"/>
    </row>
    <row r="28" spans="1:16" ht="17.25" customHeight="1">
      <c r="A28" s="16" t="s">
        <v>284</v>
      </c>
      <c r="B28" s="44">
        <v>0.15911178071579365</v>
      </c>
      <c r="C28" s="53">
        <v>252.80698485372801</v>
      </c>
      <c r="D28" s="62">
        <v>2629.69</v>
      </c>
      <c r="E28" s="17">
        <f t="shared" si="0"/>
        <v>664804</v>
      </c>
      <c r="F28" s="17" t="s">
        <v>310</v>
      </c>
      <c r="G28" s="7">
        <v>64</v>
      </c>
      <c r="H28" s="7">
        <v>16</v>
      </c>
      <c r="I28" s="7">
        <v>11</v>
      </c>
      <c r="J28" s="7">
        <v>34</v>
      </c>
      <c r="K28" s="68">
        <v>2.4337469435560841E-2</v>
      </c>
      <c r="L28" s="68">
        <v>6.0843673588902112E-3</v>
      </c>
      <c r="M28" s="68">
        <v>4.1830025592370203E-3</v>
      </c>
      <c r="N28" s="68">
        <v>1.2929280637641699E-2</v>
      </c>
      <c r="O28" s="27"/>
      <c r="P28" s="7"/>
    </row>
    <row r="29" spans="1:16" ht="17.25" customHeight="1">
      <c r="A29" s="16" t="s">
        <v>242</v>
      </c>
      <c r="B29" s="44">
        <v>0.38803113889904894</v>
      </c>
      <c r="C29" s="53">
        <v>115.96010484949355</v>
      </c>
      <c r="D29" s="62">
        <v>2445.41</v>
      </c>
      <c r="E29" s="17">
        <f t="shared" si="0"/>
        <v>283570</v>
      </c>
      <c r="F29" s="17" t="s">
        <v>310</v>
      </c>
      <c r="G29" s="7">
        <v>21</v>
      </c>
      <c r="H29" s="7">
        <v>6</v>
      </c>
      <c r="I29" s="7">
        <v>12</v>
      </c>
      <c r="J29" s="7">
        <v>41</v>
      </c>
      <c r="K29" s="68">
        <v>8.587517021685526E-3</v>
      </c>
      <c r="L29" s="68">
        <v>2.45357629191015E-3</v>
      </c>
      <c r="M29" s="68">
        <v>4.9071525838203E-3</v>
      </c>
      <c r="N29" s="68">
        <v>1.676610466138603E-2</v>
      </c>
      <c r="O29" s="27"/>
      <c r="P29" s="7"/>
    </row>
    <row r="30" spans="1:16" ht="17.25" customHeight="1">
      <c r="A30" s="16" t="s">
        <v>245</v>
      </c>
      <c r="B30" s="44">
        <v>0.35237168488434911</v>
      </c>
      <c r="C30" s="53">
        <v>120.88384825967931</v>
      </c>
      <c r="D30" s="62">
        <v>1431.92</v>
      </c>
      <c r="E30" s="17">
        <f t="shared" si="0"/>
        <v>173096</v>
      </c>
      <c r="F30" s="17" t="s">
        <v>310</v>
      </c>
      <c r="G30" s="7">
        <v>10</v>
      </c>
      <c r="H30" s="7">
        <v>10</v>
      </c>
      <c r="I30" s="7">
        <v>11</v>
      </c>
      <c r="J30" s="7">
        <v>28</v>
      </c>
      <c r="K30" s="68">
        <v>6.9836303704117536E-3</v>
      </c>
      <c r="L30" s="68">
        <v>6.9836303704117536E-3</v>
      </c>
      <c r="M30" s="68">
        <v>7.6819934074529297E-3</v>
      </c>
      <c r="N30" s="68">
        <v>1.9554165037152911E-2</v>
      </c>
      <c r="O30" s="27"/>
      <c r="P30" s="7"/>
    </row>
    <row r="31" spans="1:16" ht="17.25" customHeight="1">
      <c r="A31" s="38" t="s">
        <v>300</v>
      </c>
      <c r="B31" s="45">
        <v>0.14047141622502241</v>
      </c>
      <c r="C31" s="54">
        <v>830.2879395645474</v>
      </c>
      <c r="D31" s="63">
        <v>1538.17</v>
      </c>
      <c r="E31" s="15">
        <f t="shared" si="0"/>
        <v>1277124</v>
      </c>
      <c r="F31" s="15" t="s">
        <v>312</v>
      </c>
      <c r="G31" s="7">
        <v>36</v>
      </c>
      <c r="H31" s="7">
        <v>116</v>
      </c>
      <c r="I31" s="7">
        <v>68</v>
      </c>
      <c r="J31" s="7">
        <v>0</v>
      </c>
      <c r="K31" s="68">
        <v>2.3404435140459111E-2</v>
      </c>
      <c r="L31" s="68">
        <v>7.5414291008146034E-2</v>
      </c>
      <c r="M31" s="68">
        <v>4.4208377487533888E-2</v>
      </c>
      <c r="N31" s="68">
        <v>0</v>
      </c>
      <c r="O31" s="28">
        <v>3</v>
      </c>
      <c r="P31" s="7"/>
    </row>
    <row r="32" spans="1:16" ht="17.25" customHeight="1">
      <c r="A32" s="14" t="s">
        <v>318</v>
      </c>
      <c r="B32" s="45">
        <v>0.18223096608361719</v>
      </c>
      <c r="C32" s="54">
        <v>150.21402220877113</v>
      </c>
      <c r="D32" s="63">
        <v>6459.61</v>
      </c>
      <c r="E32" s="15">
        <f t="shared" si="0"/>
        <v>970324</v>
      </c>
      <c r="F32" s="15" t="s">
        <v>312</v>
      </c>
      <c r="G32" s="7">
        <v>122</v>
      </c>
      <c r="H32" s="7">
        <v>50</v>
      </c>
      <c r="I32" s="7">
        <v>30</v>
      </c>
      <c r="J32" s="7">
        <v>49</v>
      </c>
      <c r="K32" s="68">
        <v>1.888658912844584E-2</v>
      </c>
      <c r="L32" s="68">
        <v>7.7404053805105889E-3</v>
      </c>
      <c r="M32" s="68">
        <v>4.6442432283063531E-3</v>
      </c>
      <c r="N32" s="68">
        <v>7.5855972729003771E-3</v>
      </c>
      <c r="O32" s="28"/>
      <c r="P32" s="7"/>
    </row>
    <row r="33" spans="1:16" ht="17.25" customHeight="1">
      <c r="A33" s="38" t="s">
        <v>280</v>
      </c>
      <c r="B33" s="45">
        <v>0.21056037802929595</v>
      </c>
      <c r="C33" s="54">
        <v>218.41839549224738</v>
      </c>
      <c r="D33" s="63">
        <v>4060.56</v>
      </c>
      <c r="E33" s="15">
        <f t="shared" si="0"/>
        <v>886901</v>
      </c>
      <c r="F33" s="15" t="s">
        <v>312</v>
      </c>
      <c r="G33" s="7">
        <v>72</v>
      </c>
      <c r="H33" s="7">
        <v>38</v>
      </c>
      <c r="I33" s="7">
        <v>30</v>
      </c>
      <c r="J33" s="7">
        <v>62</v>
      </c>
      <c r="K33" s="68">
        <v>1.7731544417518761E-2</v>
      </c>
      <c r="L33" s="68">
        <v>9.3583151092460157E-3</v>
      </c>
      <c r="M33" s="68">
        <v>7.3881435072994861E-3</v>
      </c>
      <c r="N33" s="68">
        <v>1.52688299150856E-2</v>
      </c>
      <c r="O33" s="28">
        <v>1</v>
      </c>
      <c r="P33" s="7"/>
    </row>
    <row r="34" spans="1:16" ht="17.25" customHeight="1">
      <c r="A34" s="14" t="s">
        <v>275</v>
      </c>
      <c r="B34" s="45">
        <v>0.26721640201254165</v>
      </c>
      <c r="C34" s="54">
        <v>194.13989375844426</v>
      </c>
      <c r="D34" s="63">
        <v>3685.94</v>
      </c>
      <c r="E34" s="15">
        <f t="shared" ref="E34:E53" si="2">C34*D34</f>
        <v>715588</v>
      </c>
      <c r="F34" s="15" t="s">
        <v>312</v>
      </c>
      <c r="G34" s="7">
        <v>59</v>
      </c>
      <c r="H34" s="7">
        <v>19</v>
      </c>
      <c r="I34" s="7">
        <v>26</v>
      </c>
      <c r="J34" s="7">
        <v>59</v>
      </c>
      <c r="K34" s="68">
        <v>1.600677167832357E-2</v>
      </c>
      <c r="L34" s="68">
        <v>5.1547230828499647E-3</v>
      </c>
      <c r="M34" s="68">
        <v>7.0538315870578468E-3</v>
      </c>
      <c r="N34" s="68">
        <v>1.600677167832357E-2</v>
      </c>
      <c r="O34" s="28"/>
      <c r="P34" s="7"/>
    </row>
    <row r="35" spans="1:16" ht="17.25" customHeight="1">
      <c r="A35" s="14" t="s">
        <v>267</v>
      </c>
      <c r="B35" s="45">
        <v>0.26535506979412948</v>
      </c>
      <c r="C35" s="54">
        <v>179.14562094386778</v>
      </c>
      <c r="D35" s="63">
        <v>3989.33</v>
      </c>
      <c r="E35" s="15">
        <f t="shared" si="2"/>
        <v>714671</v>
      </c>
      <c r="F35" s="15" t="s">
        <v>312</v>
      </c>
      <c r="G35" s="7">
        <v>57</v>
      </c>
      <c r="H35" s="7">
        <v>31</v>
      </c>
      <c r="I35" s="7">
        <v>20</v>
      </c>
      <c r="J35" s="7">
        <v>50</v>
      </c>
      <c r="K35" s="68">
        <v>1.4288113542875619E-2</v>
      </c>
      <c r="L35" s="68">
        <v>7.7707284180551627E-3</v>
      </c>
      <c r="M35" s="68">
        <v>5.0133731729388141E-3</v>
      </c>
      <c r="N35" s="68">
        <v>1.253343293234704E-2</v>
      </c>
      <c r="O35" s="28"/>
      <c r="P35" s="7"/>
    </row>
    <row r="36" spans="1:16" ht="17.25" customHeight="1">
      <c r="A36" s="14" t="s">
        <v>268</v>
      </c>
      <c r="B36" s="45">
        <v>0.2909800192598489</v>
      </c>
      <c r="C36" s="54">
        <v>179.15281094471845</v>
      </c>
      <c r="D36" s="63">
        <v>3584.56</v>
      </c>
      <c r="E36" s="15">
        <f t="shared" si="2"/>
        <v>642184</v>
      </c>
      <c r="F36" s="15" t="s">
        <v>312</v>
      </c>
      <c r="G36" s="7">
        <v>48</v>
      </c>
      <c r="H36" s="7">
        <v>28</v>
      </c>
      <c r="I36" s="7">
        <v>16</v>
      </c>
      <c r="J36" s="7">
        <v>59</v>
      </c>
      <c r="K36" s="68">
        <v>1.339076483585154E-2</v>
      </c>
      <c r="L36" s="68">
        <v>7.8112794875800657E-3</v>
      </c>
      <c r="M36" s="68">
        <v>4.4635882786171806E-3</v>
      </c>
      <c r="N36" s="68">
        <v>1.645948177740085E-2</v>
      </c>
      <c r="O36" s="28"/>
      <c r="P36" s="7"/>
    </row>
    <row r="37" spans="1:16" ht="17.25" customHeight="1">
      <c r="A37" s="14" t="s">
        <v>272</v>
      </c>
      <c r="B37" s="45">
        <v>0.25603392026232363</v>
      </c>
      <c r="C37" s="54">
        <v>183.37148403467683</v>
      </c>
      <c r="D37" s="63">
        <v>3018.73</v>
      </c>
      <c r="E37" s="15">
        <f t="shared" si="2"/>
        <v>553549</v>
      </c>
      <c r="F37" s="15" t="s">
        <v>312</v>
      </c>
      <c r="G37" s="7">
        <v>42</v>
      </c>
      <c r="H37" s="7">
        <v>22</v>
      </c>
      <c r="I37" s="7">
        <v>18</v>
      </c>
      <c r="J37" s="7">
        <v>29</v>
      </c>
      <c r="K37" s="68">
        <v>1.39131356563853E-2</v>
      </c>
      <c r="L37" s="68">
        <v>7.2878329628684908E-3</v>
      </c>
      <c r="M37" s="68">
        <v>5.9627724241651291E-3</v>
      </c>
      <c r="N37" s="68">
        <v>9.6066889055993736E-3</v>
      </c>
      <c r="O37" s="28"/>
      <c r="P37" s="7"/>
    </row>
    <row r="38" spans="1:16" ht="17.25" customHeight="1">
      <c r="A38" s="14" t="s">
        <v>319</v>
      </c>
      <c r="B38" s="45">
        <v>0.22422313648988682</v>
      </c>
      <c r="C38" s="54">
        <v>141.09662159682676</v>
      </c>
      <c r="D38" s="63">
        <v>2997.57</v>
      </c>
      <c r="E38" s="15">
        <f t="shared" si="2"/>
        <v>422947</v>
      </c>
      <c r="F38" s="15" t="s">
        <v>312</v>
      </c>
      <c r="G38" s="7">
        <v>44</v>
      </c>
      <c r="H38" s="7">
        <v>14</v>
      </c>
      <c r="I38" s="7">
        <v>9</v>
      </c>
      <c r="J38" s="7">
        <v>31</v>
      </c>
      <c r="K38" s="68">
        <v>1.4678556297267451E-2</v>
      </c>
      <c r="L38" s="68">
        <v>4.6704497309487348E-3</v>
      </c>
      <c r="M38" s="68">
        <v>3.0024319698956151E-3</v>
      </c>
      <c r="N38" s="68">
        <v>1.034171011852934E-2</v>
      </c>
      <c r="O38" s="28"/>
      <c r="P38" s="7"/>
    </row>
    <row r="39" spans="1:16" ht="17.25" customHeight="1">
      <c r="A39" s="14" t="s">
        <v>320</v>
      </c>
      <c r="B39" s="45">
        <v>0.33342254443558184</v>
      </c>
      <c r="C39" s="54">
        <v>135.03201092746528</v>
      </c>
      <c r="D39" s="63">
        <v>2994.29</v>
      </c>
      <c r="E39" s="15">
        <f t="shared" si="2"/>
        <v>404325</v>
      </c>
      <c r="F39" s="15" t="s">
        <v>312</v>
      </c>
      <c r="G39" s="7">
        <v>30</v>
      </c>
      <c r="H39" s="7">
        <v>12</v>
      </c>
      <c r="I39" s="7">
        <v>16</v>
      </c>
      <c r="J39" s="7">
        <v>37</v>
      </c>
      <c r="K39" s="68">
        <v>1.001906962919423E-2</v>
      </c>
      <c r="L39" s="68">
        <v>4.0076278516776934E-3</v>
      </c>
      <c r="M39" s="68">
        <v>5.3435038022369248E-3</v>
      </c>
      <c r="N39" s="68">
        <v>1.2356852542672891E-2</v>
      </c>
      <c r="O39" s="28"/>
      <c r="P39" s="7"/>
    </row>
    <row r="40" spans="1:16" ht="17.25" customHeight="1">
      <c r="A40" s="14" t="s">
        <v>278</v>
      </c>
      <c r="B40" s="45">
        <v>0.23489192161973649</v>
      </c>
      <c r="C40" s="54">
        <v>210.41178003648685</v>
      </c>
      <c r="D40" s="63">
        <v>1381.32</v>
      </c>
      <c r="E40" s="15">
        <f t="shared" si="2"/>
        <v>290646</v>
      </c>
      <c r="F40" s="15" t="s">
        <v>312</v>
      </c>
      <c r="G40" s="7">
        <v>29</v>
      </c>
      <c r="H40" s="7">
        <v>8</v>
      </c>
      <c r="I40" s="7">
        <v>2</v>
      </c>
      <c r="J40" s="7">
        <v>15</v>
      </c>
      <c r="K40" s="68">
        <v>2.09944111429647E-2</v>
      </c>
      <c r="L40" s="68">
        <v>5.7915616946109518E-3</v>
      </c>
      <c r="M40" s="68">
        <v>1.447890423652738E-3</v>
      </c>
      <c r="N40" s="68">
        <v>1.0859178177395529E-2</v>
      </c>
      <c r="O40" s="28"/>
      <c r="P40" s="7"/>
    </row>
    <row r="41" spans="1:16" ht="17.25" customHeight="1">
      <c r="A41" s="14" t="s">
        <v>269</v>
      </c>
      <c r="B41" s="45">
        <v>0.16656372973471853</v>
      </c>
      <c r="C41" s="54">
        <v>180.80267514498047</v>
      </c>
      <c r="D41" s="63">
        <v>1519.17</v>
      </c>
      <c r="E41" s="15">
        <f t="shared" si="2"/>
        <v>274670</v>
      </c>
      <c r="F41" s="15" t="s">
        <v>312</v>
      </c>
      <c r="G41" s="7">
        <v>20</v>
      </c>
      <c r="H41" s="7">
        <v>10</v>
      </c>
      <c r="I41" s="7">
        <v>7</v>
      </c>
      <c r="J41" s="7">
        <v>14</v>
      </c>
      <c r="K41" s="68">
        <v>1.3165083565367931E-2</v>
      </c>
      <c r="L41" s="68">
        <v>6.5825417826839653E-3</v>
      </c>
      <c r="M41" s="68">
        <v>4.6077792478787759E-3</v>
      </c>
      <c r="N41" s="68">
        <v>9.2155584957575518E-3</v>
      </c>
      <c r="O41" s="28"/>
      <c r="P41" s="7"/>
    </row>
    <row r="42" spans="1:16" ht="17.25" customHeight="1">
      <c r="A42" s="14" t="s">
        <v>282</v>
      </c>
      <c r="B42" s="45">
        <v>0.18300654012617118</v>
      </c>
      <c r="C42" s="54">
        <v>226.73127129519006</v>
      </c>
      <c r="D42" s="63">
        <v>1129.95</v>
      </c>
      <c r="E42" s="15">
        <f t="shared" si="2"/>
        <v>256195</v>
      </c>
      <c r="F42" s="15" t="s">
        <v>312</v>
      </c>
      <c r="G42" s="7">
        <v>19</v>
      </c>
      <c r="H42" s="7">
        <v>14</v>
      </c>
      <c r="I42" s="7">
        <v>7</v>
      </c>
      <c r="J42" s="7">
        <v>10</v>
      </c>
      <c r="K42" s="68">
        <v>1.6814903314305941E-2</v>
      </c>
      <c r="L42" s="68">
        <v>1.2389928757909639E-2</v>
      </c>
      <c r="M42" s="68">
        <v>6.1949643789548214E-3</v>
      </c>
      <c r="N42" s="68">
        <v>8.849949112792601E-3</v>
      </c>
      <c r="O42" s="28"/>
      <c r="P42" s="7"/>
    </row>
    <row r="43" spans="1:16" ht="17.25" customHeight="1">
      <c r="A43" s="14" t="s">
        <v>279</v>
      </c>
      <c r="B43" s="45">
        <v>0.19841545651164716</v>
      </c>
      <c r="C43" s="54">
        <v>215.65327358218329</v>
      </c>
      <c r="D43" s="63">
        <v>1178.22</v>
      </c>
      <c r="E43" s="15">
        <f t="shared" si="2"/>
        <v>254087</v>
      </c>
      <c r="F43" s="15" t="s">
        <v>312</v>
      </c>
      <c r="G43" s="7">
        <v>22</v>
      </c>
      <c r="H43" s="7">
        <v>6</v>
      </c>
      <c r="I43" s="7">
        <v>2</v>
      </c>
      <c r="J43" s="7">
        <v>16</v>
      </c>
      <c r="K43" s="68">
        <v>1.867223438746584E-2</v>
      </c>
      <c r="L43" s="68">
        <v>5.0924275602179554E-3</v>
      </c>
      <c r="M43" s="68">
        <v>1.6974758534059849E-3</v>
      </c>
      <c r="N43" s="68">
        <v>1.3579806827247879E-2</v>
      </c>
      <c r="O43" s="28"/>
      <c r="P43" s="7"/>
    </row>
    <row r="44" spans="1:16" ht="17.25" customHeight="1">
      <c r="A44" s="14" t="s">
        <v>288</v>
      </c>
      <c r="B44" s="45">
        <v>0.32965085417038753</v>
      </c>
      <c r="C44" s="54">
        <v>280.81699566574588</v>
      </c>
      <c r="D44" s="63">
        <v>890.58</v>
      </c>
      <c r="E44" s="15">
        <f t="shared" si="2"/>
        <v>250089.99999999997</v>
      </c>
      <c r="F44" s="15" t="s">
        <v>312</v>
      </c>
      <c r="G44" s="7">
        <v>16</v>
      </c>
      <c r="H44" s="7">
        <v>8</v>
      </c>
      <c r="I44" s="7">
        <v>15</v>
      </c>
      <c r="J44" s="7">
        <v>16</v>
      </c>
      <c r="K44" s="68">
        <v>1.796582002739788E-2</v>
      </c>
      <c r="L44" s="68">
        <v>8.982910013698938E-3</v>
      </c>
      <c r="M44" s="68">
        <v>1.6842956275685508E-2</v>
      </c>
      <c r="N44" s="68">
        <v>1.796582002739788E-2</v>
      </c>
      <c r="O44" s="28">
        <v>2</v>
      </c>
      <c r="P44" s="7"/>
    </row>
    <row r="45" spans="1:16" ht="17.25" customHeight="1">
      <c r="A45" s="14" t="s">
        <v>314</v>
      </c>
      <c r="B45" s="45">
        <v>0.21255499911430531</v>
      </c>
      <c r="C45" s="54">
        <v>108.1466547939449</v>
      </c>
      <c r="D45" s="63">
        <v>1998.98</v>
      </c>
      <c r="E45" s="15">
        <f t="shared" si="2"/>
        <v>216183</v>
      </c>
      <c r="F45" s="15" t="s">
        <v>312</v>
      </c>
      <c r="G45" s="7">
        <v>20</v>
      </c>
      <c r="H45" s="7">
        <v>8</v>
      </c>
      <c r="I45" s="7">
        <v>12</v>
      </c>
      <c r="J45" s="7">
        <v>12</v>
      </c>
      <c r="K45" s="68">
        <v>1.000510260232719E-2</v>
      </c>
      <c r="L45" s="68">
        <v>4.0020410409308746E-3</v>
      </c>
      <c r="M45" s="68">
        <v>6.0030615613963119E-3</v>
      </c>
      <c r="N45" s="68">
        <v>6.0030615613963119E-3</v>
      </c>
      <c r="O45" s="28"/>
      <c r="P45" s="7"/>
    </row>
    <row r="46" spans="1:16" ht="17.25" customHeight="1">
      <c r="A46" s="14" t="s">
        <v>263</v>
      </c>
      <c r="B46" s="45">
        <v>0.19392604213346226</v>
      </c>
      <c r="C46" s="54">
        <v>171.32202630424433</v>
      </c>
      <c r="D46" s="63">
        <v>1071.31</v>
      </c>
      <c r="E46" s="15">
        <f t="shared" si="2"/>
        <v>183539</v>
      </c>
      <c r="F46" s="15" t="s">
        <v>312</v>
      </c>
      <c r="G46" s="7">
        <v>22</v>
      </c>
      <c r="H46" s="7">
        <v>20</v>
      </c>
      <c r="I46" s="7">
        <v>5</v>
      </c>
      <c r="J46" s="7">
        <v>17</v>
      </c>
      <c r="K46" s="68">
        <v>2.0535605940390739E-2</v>
      </c>
      <c r="L46" s="68">
        <v>1.8668732673082489E-2</v>
      </c>
      <c r="M46" s="68">
        <v>4.6671831682706224E-3</v>
      </c>
      <c r="N46" s="68">
        <v>1.5868422772120111E-2</v>
      </c>
      <c r="O46" s="28"/>
      <c r="P46" s="7"/>
    </row>
    <row r="47" spans="1:16" ht="17.25" customHeight="1">
      <c r="A47" s="14" t="s">
        <v>313</v>
      </c>
      <c r="B47" s="45">
        <v>0.33456444269316382</v>
      </c>
      <c r="C47" s="54">
        <v>195.37357298518504</v>
      </c>
      <c r="D47" s="63">
        <v>500.17</v>
      </c>
      <c r="E47" s="15">
        <f t="shared" si="2"/>
        <v>97720</v>
      </c>
      <c r="F47" s="15" t="s">
        <v>312</v>
      </c>
      <c r="G47" s="7">
        <v>7</v>
      </c>
      <c r="H47" s="7">
        <v>2</v>
      </c>
      <c r="I47" s="7">
        <v>4</v>
      </c>
      <c r="J47" s="7">
        <v>9</v>
      </c>
      <c r="K47" s="68">
        <v>1.3995241617849929E-2</v>
      </c>
      <c r="L47" s="68">
        <v>3.9986404622428372E-3</v>
      </c>
      <c r="M47" s="68">
        <v>7.9972809244856745E-3</v>
      </c>
      <c r="N47" s="68">
        <v>1.7993882080092768E-2</v>
      </c>
      <c r="O47" s="28"/>
      <c r="P47" s="7"/>
    </row>
    <row r="48" spans="1:16" ht="17.25" customHeight="1">
      <c r="A48" s="14" t="s">
        <v>321</v>
      </c>
      <c r="B48" s="45">
        <v>0.20706622066132718</v>
      </c>
      <c r="C48" s="54">
        <v>120.38161563831443</v>
      </c>
      <c r="D48" s="63">
        <v>706.47</v>
      </c>
      <c r="E48" s="15">
        <f t="shared" si="2"/>
        <v>85046</v>
      </c>
      <c r="F48" s="15" t="s">
        <v>312</v>
      </c>
      <c r="G48" s="7">
        <v>6</v>
      </c>
      <c r="H48" s="7">
        <v>1</v>
      </c>
      <c r="I48" s="7">
        <v>2</v>
      </c>
      <c r="J48" s="7">
        <v>6</v>
      </c>
      <c r="K48" s="68">
        <v>8.4929296360779644E-3</v>
      </c>
      <c r="L48" s="68">
        <v>1.4154882726796611E-3</v>
      </c>
      <c r="M48" s="68">
        <v>2.8309765453593222E-3</v>
      </c>
      <c r="N48" s="68">
        <v>8.4929296360779644E-3</v>
      </c>
      <c r="O48" s="28"/>
      <c r="P48" s="7"/>
    </row>
    <row r="49" spans="1:16" ht="17.25" customHeight="1">
      <c r="A49" s="14" t="s">
        <v>256</v>
      </c>
      <c r="B49" s="45">
        <v>0.14470355607385157</v>
      </c>
      <c r="C49" s="54">
        <v>152.95429208472686</v>
      </c>
      <c r="D49" s="63">
        <v>242.19</v>
      </c>
      <c r="E49" s="15">
        <f t="shared" si="2"/>
        <v>37044</v>
      </c>
      <c r="F49" s="15" t="s">
        <v>312</v>
      </c>
      <c r="G49" s="7">
        <v>4</v>
      </c>
      <c r="H49" s="7">
        <v>0</v>
      </c>
      <c r="I49" s="7">
        <v>0</v>
      </c>
      <c r="J49" s="7">
        <v>3</v>
      </c>
      <c r="K49" s="68">
        <v>1.6515958544944049E-2</v>
      </c>
      <c r="L49" s="68">
        <v>0</v>
      </c>
      <c r="M49" s="68">
        <v>0</v>
      </c>
      <c r="N49" s="68">
        <v>1.2386968908708039E-2</v>
      </c>
      <c r="O49" s="28"/>
      <c r="P49" s="7"/>
    </row>
    <row r="50" spans="1:16" ht="17.25" customHeight="1">
      <c r="A50" s="39" t="s">
        <v>322</v>
      </c>
      <c r="B50" s="46">
        <v>0.15959317357158972</v>
      </c>
      <c r="C50" s="55">
        <v>321.07457222642171</v>
      </c>
      <c r="D50" s="64">
        <v>16007.3</v>
      </c>
      <c r="E50" s="19">
        <f t="shared" si="2"/>
        <v>5139537</v>
      </c>
      <c r="F50" s="19" t="s">
        <v>315</v>
      </c>
      <c r="G50" s="7">
        <v>373</v>
      </c>
      <c r="H50" s="7">
        <v>214</v>
      </c>
      <c r="I50" s="7">
        <v>73</v>
      </c>
      <c r="J50" s="7">
        <v>239</v>
      </c>
      <c r="K50" s="68">
        <v>2.330186852248662E-2</v>
      </c>
      <c r="L50" s="68">
        <v>1.336890043917463E-2</v>
      </c>
      <c r="M50" s="68">
        <v>4.5604193086904096E-3</v>
      </c>
      <c r="N50" s="68">
        <v>1.4930687873657641E-2</v>
      </c>
      <c r="O50" s="29">
        <v>1</v>
      </c>
      <c r="P50" s="7"/>
    </row>
    <row r="51" spans="1:16" ht="17.25" customHeight="1">
      <c r="A51" s="18" t="s">
        <v>323</v>
      </c>
      <c r="B51" s="46">
        <v>0.22110824981624477</v>
      </c>
      <c r="C51" s="55">
        <v>158.19296587816586</v>
      </c>
      <c r="D51" s="64">
        <v>11460.99</v>
      </c>
      <c r="E51" s="19">
        <f t="shared" si="2"/>
        <v>1813048.0000000002</v>
      </c>
      <c r="F51" s="19" t="s">
        <v>315</v>
      </c>
      <c r="G51" s="7">
        <v>146</v>
      </c>
      <c r="H51" s="7">
        <v>51</v>
      </c>
      <c r="I51" s="7">
        <v>57</v>
      </c>
      <c r="J51" s="7">
        <v>95</v>
      </c>
      <c r="K51" s="68">
        <v>1.273886461815253E-2</v>
      </c>
      <c r="L51" s="68">
        <v>4.4498773666149256E-3</v>
      </c>
      <c r="M51" s="68">
        <v>4.9733923509225654E-3</v>
      </c>
      <c r="N51" s="68">
        <v>8.2889872515376078E-3</v>
      </c>
      <c r="O51" s="29"/>
      <c r="P51" s="7"/>
    </row>
    <row r="52" spans="1:16" ht="17.25" customHeight="1">
      <c r="A52" s="18" t="s">
        <v>324</v>
      </c>
      <c r="B52" s="46">
        <v>5.5146943458127352E-2</v>
      </c>
      <c r="C52" s="55">
        <v>352.98824519174588</v>
      </c>
      <c r="D52" s="64">
        <v>2139.5500000000002</v>
      </c>
      <c r="E52" s="19">
        <f t="shared" si="2"/>
        <v>755236</v>
      </c>
      <c r="F52" s="19" t="s">
        <v>315</v>
      </c>
      <c r="G52" s="7">
        <v>80</v>
      </c>
      <c r="H52" s="7">
        <v>12</v>
      </c>
      <c r="I52" s="7">
        <v>8</v>
      </c>
      <c r="J52" s="7">
        <v>15</v>
      </c>
      <c r="K52" s="68">
        <v>3.7391040171998777E-2</v>
      </c>
      <c r="L52" s="68">
        <v>5.6086560257998172E-3</v>
      </c>
      <c r="M52" s="68">
        <v>3.7391040171998778E-3</v>
      </c>
      <c r="N52" s="68">
        <v>7.0108200322497724E-3</v>
      </c>
      <c r="O52" s="29"/>
      <c r="P52" s="7"/>
    </row>
    <row r="53" spans="1:16" ht="17.25" customHeight="1">
      <c r="A53" s="20" t="s">
        <v>316</v>
      </c>
      <c r="B53" s="47">
        <v>4.3650567485909605E-2</v>
      </c>
      <c r="C53" s="56">
        <v>368.606216322904</v>
      </c>
      <c r="D53" s="65">
        <v>7169.19</v>
      </c>
      <c r="E53" s="21">
        <f t="shared" si="2"/>
        <v>2642608</v>
      </c>
      <c r="F53" s="21" t="s">
        <v>344</v>
      </c>
      <c r="G53" s="7">
        <v>234</v>
      </c>
      <c r="H53" s="7">
        <v>120</v>
      </c>
      <c r="I53" s="7">
        <v>15</v>
      </c>
      <c r="J53" s="7">
        <v>30</v>
      </c>
      <c r="K53" s="68">
        <v>3.2639670590401418E-2</v>
      </c>
      <c r="L53" s="68">
        <v>1.6738292610462269E-2</v>
      </c>
      <c r="M53" s="68">
        <v>2.0922865763077841E-3</v>
      </c>
      <c r="N53" s="68">
        <v>4.1845731526155673E-3</v>
      </c>
      <c r="O53" s="30">
        <v>1</v>
      </c>
      <c r="P53" s="7"/>
    </row>
  </sheetData>
  <sortState xmlns:xlrd2="http://schemas.microsoft.com/office/spreadsheetml/2017/richdata2" ref="A2:P56">
    <sortCondition ref="F2:F56"/>
    <sortCondition descending="1" ref="E2:E56"/>
  </sortState>
  <phoneticPr fontId="2" type="noConversion"/>
  <conditionalFormatting sqref="K2:K53">
    <cfRule type="cellIs" dxfId="3" priority="4" operator="greaterThan">
      <formula>$S$2</formula>
    </cfRule>
  </conditionalFormatting>
  <conditionalFormatting sqref="L2:L53">
    <cfRule type="cellIs" dxfId="2" priority="3" operator="greaterThan">
      <formula>$T$2</formula>
    </cfRule>
  </conditionalFormatting>
  <conditionalFormatting sqref="M2:M53">
    <cfRule type="cellIs" dxfId="1" priority="2" operator="greaterThan">
      <formula>$U$2</formula>
    </cfRule>
  </conditionalFormatting>
  <conditionalFormatting sqref="N2:N53">
    <cfRule type="cellIs" dxfId="0" priority="1" operator="greaterThan">
      <formula>$V$2</formula>
    </cfRule>
  </conditionalFormatting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ALL_計算用</vt:lpstr>
      <vt:lpstr>第一類館舍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宜桓 謝</cp:lastModifiedBy>
  <cp:lastPrinted>2023-11-14T02:43:20Z</cp:lastPrinted>
  <dcterms:created xsi:type="dcterms:W3CDTF">2023-10-05T08:51:59Z</dcterms:created>
  <dcterms:modified xsi:type="dcterms:W3CDTF">2025-04-24T08:46:03Z</dcterms:modified>
</cp:coreProperties>
</file>